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gideo\Desktop\MAIN FOR KANJI\KANJIPRACTICE\"/>
    </mc:Choice>
  </mc:AlternateContent>
  <xr:revisionPtr revIDLastSave="0" documentId="13_ncr:2001_{B4F0850F-B202-4804-915D-B659DE3C6ADF}" xr6:coauthVersionLast="47" xr6:coauthVersionMax="47" xr10:uidLastSave="{00000000-0000-0000-0000-000000000000}"/>
  <bookViews>
    <workbookView xWindow="-120" yWindow="-120" windowWidth="29040" windowHeight="15720" activeTab="2" xr2:uid="{C1F780F9-615F-4565-A6FA-57151FF7223D}"/>
  </bookViews>
  <sheets>
    <sheet name="Sheet1" sheetId="1" r:id="rId1"/>
    <sheet name="Sheet4" sheetId="6" r:id="rId2"/>
    <sheet name="Main" sheetId="3" r:id="rId3"/>
    <sheet name="Shortcut" sheetId="7" r:id="rId4"/>
    <sheet name="Sheet2" sheetId="5" r:id="rId5"/>
  </sheets>
  <calcPr calcId="191029"/>
  <fileRecoveryPr repairLoad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3" l="1"/>
  <c r="F17" i="3"/>
  <c r="B18" i="3"/>
  <c r="F18" i="3"/>
  <c r="B19" i="3"/>
  <c r="F19" i="3"/>
  <c r="B20" i="3"/>
  <c r="F20" i="3"/>
  <c r="E12" i="3"/>
  <c r="G3" i="6"/>
  <c r="I2" i="6"/>
  <c r="H2" i="6"/>
  <c r="B3" i="6" s="1"/>
  <c r="G2" i="6"/>
  <c r="E2" i="6"/>
  <c r="E3" i="6" s="1"/>
  <c r="B2" i="6"/>
  <c r="J1" i="6"/>
  <c r="C2" i="6" s="1"/>
  <c r="F1" i="6"/>
  <c r="A2" i="6" s="1"/>
  <c r="E11" i="3"/>
  <c r="M2" i="3"/>
  <c r="M3" i="3" s="1"/>
  <c r="N1" i="3"/>
  <c r="R1" i="3"/>
  <c r="Q2" i="3"/>
  <c r="R2" i="3" s="1"/>
  <c r="P2" i="3"/>
  <c r="P3" i="3" s="1"/>
  <c r="P4" i="3" s="1"/>
  <c r="P5" i="3" s="1"/>
  <c r="P6" i="3" s="1"/>
  <c r="P7" i="3" s="1"/>
  <c r="P8" i="3" s="1"/>
  <c r="P9" i="3" s="1"/>
  <c r="P10" i="3" s="1"/>
  <c r="P11" i="3" s="1"/>
  <c r="P12" i="3" s="1"/>
  <c r="P13" i="3" s="1"/>
  <c r="P14" i="3" s="1"/>
  <c r="P15" i="3" s="1"/>
  <c r="O2" i="3"/>
  <c r="E10" i="3"/>
  <c r="B3" i="3"/>
  <c r="B4" i="3"/>
  <c r="B5" i="3"/>
  <c r="B6" i="3"/>
  <c r="B7" i="3"/>
  <c r="B8" i="3"/>
  <c r="B9" i="3"/>
  <c r="B10" i="3"/>
  <c r="B11" i="3"/>
  <c r="B12" i="3"/>
  <c r="B13" i="3"/>
  <c r="B14" i="3"/>
  <c r="B15" i="3"/>
  <c r="B16" i="3"/>
  <c r="B2" i="3"/>
  <c r="F9" i="3"/>
  <c r="F10" i="3"/>
  <c r="F11" i="3"/>
  <c r="F12" i="3"/>
  <c r="F13" i="3"/>
  <c r="F14" i="3"/>
  <c r="F15" i="3"/>
  <c r="F16" i="3"/>
  <c r="F4" i="3"/>
  <c r="F5" i="3"/>
  <c r="F6" i="3"/>
  <c r="F7" i="3"/>
  <c r="F8" i="3"/>
  <c r="F3" i="3"/>
  <c r="B56" i="1"/>
  <c r="B55" i="1"/>
  <c r="B54" i="1"/>
  <c r="B53" i="1"/>
  <c r="B52" i="1"/>
  <c r="B51" i="1"/>
  <c r="B50" i="1"/>
  <c r="B49" i="1"/>
  <c r="B48" i="1"/>
  <c r="B42" i="1"/>
  <c r="B43" i="1"/>
  <c r="B44" i="1"/>
  <c r="B45" i="1"/>
  <c r="B46" i="1"/>
  <c r="B47" i="1"/>
  <c r="D40" i="1"/>
  <c r="D3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D33" i="1"/>
  <c r="D34" i="1"/>
  <c r="D35" i="1"/>
  <c r="D36" i="1"/>
  <c r="D37" i="1"/>
  <c r="D38" i="1"/>
  <c r="D39" i="1"/>
  <c r="D2" i="1"/>
  <c r="I3" i="6" l="1"/>
  <c r="J2" i="6"/>
  <c r="C3" i="6" s="1"/>
  <c r="H3" i="6"/>
  <c r="H4" i="6" s="1"/>
  <c r="H5" i="6" s="1"/>
  <c r="H6" i="6" s="1"/>
  <c r="H7" i="6" s="1"/>
  <c r="H8" i="6" s="1"/>
  <c r="H9" i="6" s="1"/>
  <c r="H10" i="6" s="1"/>
  <c r="H11" i="6" s="1"/>
  <c r="H12" i="6" s="1"/>
  <c r="H13" i="6" s="1"/>
  <c r="H14" i="6" s="1"/>
  <c r="H15" i="6" s="1"/>
  <c r="G4" i="6"/>
  <c r="E4" i="6"/>
  <c r="F3" i="6"/>
  <c r="A4" i="6" s="1"/>
  <c r="F2" i="6"/>
  <c r="A3" i="6" s="1"/>
  <c r="Q3" i="3"/>
  <c r="Q4" i="3" s="1"/>
  <c r="M4" i="3"/>
  <c r="N3" i="3"/>
  <c r="N2" i="3"/>
  <c r="O3" i="3"/>
  <c r="E5" i="6" l="1"/>
  <c r="F4" i="6"/>
  <c r="A5" i="6" s="1"/>
  <c r="B5" i="6"/>
  <c r="G5" i="6"/>
  <c r="B4" i="6"/>
  <c r="C4" i="6"/>
  <c r="I4" i="6"/>
  <c r="J3" i="6"/>
  <c r="R3" i="3"/>
  <c r="Q5" i="3"/>
  <c r="R4" i="3"/>
  <c r="N4" i="3"/>
  <c r="M5" i="3"/>
  <c r="O4" i="3"/>
  <c r="B6" i="6" l="1"/>
  <c r="G6" i="6"/>
  <c r="I5" i="6"/>
  <c r="J4" i="6"/>
  <c r="C5" i="6" s="1"/>
  <c r="E6" i="6"/>
  <c r="F5" i="6"/>
  <c r="A6" i="6" s="1"/>
  <c r="Q6" i="3"/>
  <c r="R5" i="3"/>
  <c r="M6" i="3"/>
  <c r="N5" i="3"/>
  <c r="O5" i="3"/>
  <c r="E7" i="6" l="1"/>
  <c r="F6" i="6"/>
  <c r="A7" i="6" s="1"/>
  <c r="I6" i="6"/>
  <c r="J5" i="6"/>
  <c r="C6" i="6"/>
  <c r="G7" i="6"/>
  <c r="B7" i="6"/>
  <c r="Q7" i="3"/>
  <c r="R6" i="3"/>
  <c r="M7" i="3"/>
  <c r="N6" i="3"/>
  <c r="O6" i="3"/>
  <c r="J6" i="6" l="1"/>
  <c r="I7" i="6"/>
  <c r="C7" i="6"/>
  <c r="G8" i="6"/>
  <c r="B8" i="6"/>
  <c r="E8" i="6"/>
  <c r="F7" i="6"/>
  <c r="A8" i="6"/>
  <c r="Q8" i="3"/>
  <c r="R7" i="3"/>
  <c r="M8" i="3"/>
  <c r="N7" i="3"/>
  <c r="O7" i="3"/>
  <c r="B9" i="6" l="1"/>
  <c r="G9" i="6"/>
  <c r="E9" i="6"/>
  <c r="F8" i="6"/>
  <c r="A9" i="6"/>
  <c r="I8" i="6"/>
  <c r="J7" i="6"/>
  <c r="C8" i="6"/>
  <c r="Q9" i="3"/>
  <c r="R8" i="3"/>
  <c r="M9" i="3"/>
  <c r="N8" i="3"/>
  <c r="O8" i="3"/>
  <c r="E10" i="6" l="1"/>
  <c r="F9" i="6"/>
  <c r="A10" i="6"/>
  <c r="G10" i="6"/>
  <c r="B10" i="6"/>
  <c r="J8" i="6"/>
  <c r="C9" i="6" s="1"/>
  <c r="I9" i="6"/>
  <c r="Q10" i="3"/>
  <c r="R9" i="3"/>
  <c r="M10" i="3"/>
  <c r="N9" i="3"/>
  <c r="O9" i="3"/>
  <c r="B11" i="6" l="1"/>
  <c r="G11" i="6"/>
  <c r="I10" i="6"/>
  <c r="J9" i="6"/>
  <c r="C10" i="6" s="1"/>
  <c r="E11" i="6"/>
  <c r="F10" i="6"/>
  <c r="A11" i="6" s="1"/>
  <c r="Q11" i="3"/>
  <c r="R10" i="3"/>
  <c r="M11" i="3"/>
  <c r="N10" i="3"/>
  <c r="O10" i="3"/>
  <c r="E12" i="6" l="1"/>
  <c r="F11" i="6"/>
  <c r="A12" i="6"/>
  <c r="I11" i="6"/>
  <c r="J10" i="6"/>
  <c r="C11" i="6" s="1"/>
  <c r="B12" i="6"/>
  <c r="G12" i="6"/>
  <c r="Q12" i="3"/>
  <c r="R11" i="3"/>
  <c r="M12" i="3"/>
  <c r="N11" i="3"/>
  <c r="O11" i="3"/>
  <c r="G13" i="6" l="1"/>
  <c r="B13" i="6"/>
  <c r="I12" i="6"/>
  <c r="J11" i="6"/>
  <c r="C12" i="6"/>
  <c r="F12" i="6"/>
  <c r="A13" i="6" s="1"/>
  <c r="E13" i="6"/>
  <c r="Q13" i="3"/>
  <c r="R12" i="3"/>
  <c r="M13" i="3"/>
  <c r="N12" i="3"/>
  <c r="O12" i="3"/>
  <c r="E14" i="6" l="1"/>
  <c r="F13" i="6"/>
  <c r="A14" i="6"/>
  <c r="I13" i="6"/>
  <c r="J12" i="6"/>
  <c r="C13" i="6" s="1"/>
  <c r="B14" i="6"/>
  <c r="G14" i="6"/>
  <c r="Q14" i="3"/>
  <c r="R13" i="3"/>
  <c r="N13" i="3"/>
  <c r="M14" i="3"/>
  <c r="O13" i="3"/>
  <c r="G15" i="6" l="1"/>
  <c r="B16" i="6" s="1"/>
  <c r="B15" i="6"/>
  <c r="I14" i="6"/>
  <c r="J13" i="6"/>
  <c r="C14" i="6" s="1"/>
  <c r="E15" i="6"/>
  <c r="A16" i="6" s="1"/>
  <c r="F14" i="6"/>
  <c r="A15" i="6" s="1"/>
  <c r="Q15" i="3"/>
  <c r="R14" i="3"/>
  <c r="M15" i="3"/>
  <c r="N14" i="3"/>
  <c r="O14" i="3"/>
  <c r="J14" i="6" l="1"/>
  <c r="C15" i="6" s="1"/>
  <c r="I15" i="6"/>
  <c r="C16" i="6" s="1"/>
  <c r="O15" i="3"/>
</calcChain>
</file>

<file path=xl/sharedStrings.xml><?xml version="1.0" encoding="utf-8"?>
<sst xmlns="http://schemas.openxmlformats.org/spreadsheetml/2006/main" count="128" uniqueCount="113">
  <si>
    <t>Date</t>
  </si>
  <si>
    <t>Number</t>
  </si>
  <si>
    <t>Must</t>
  </si>
  <si>
    <t>Notes</t>
  </si>
  <si>
    <t>No Progress</t>
  </si>
  <si>
    <t>END OF N3</t>
  </si>
  <si>
    <t>１４１１</t>
  </si>
  <si>
    <t>Column1</t>
  </si>
  <si>
    <t>Hrs</t>
  </si>
  <si>
    <t>Count</t>
  </si>
  <si>
    <t>Ga sakit ang liog</t>
  </si>
  <si>
    <t>Minutes of Studying</t>
  </si>
  <si>
    <t>Minutes of Not doing shit</t>
  </si>
  <si>
    <t xml:space="preserve">Increase in number </t>
  </si>
  <si>
    <t>+ 100 new cards in DoFG Basic</t>
  </si>
  <si>
    <t>Time Block</t>
  </si>
  <si>
    <t>Activity</t>
  </si>
  <si>
    <t>Mental Focus</t>
  </si>
  <si>
    <t>08:00 – 09:30</t>
  </si>
  <si>
    <t>High Speed. Aim for 40-50 entries.</t>
  </si>
  <si>
    <t>09:30 – 09:50</t>
  </si>
  <si>
    <t>Active Recovery</t>
  </si>
  <si>
    <t>Hydrate. Stretch your wrists. No screens.</t>
  </si>
  <si>
    <t>09:50 – 11:20</t>
  </si>
  <si>
    <t>Deep Focus. Read the usage notes.</t>
  </si>
  <si>
    <t>11:20 – 11:40</t>
  </si>
  <si>
    <t>Quick movement/pushups to keep blood flowing.</t>
  </si>
  <si>
    <t>11:40 – 13:10</t>
  </si>
  <si>
    <t>Highest Difficulty. Slow down and type perfectly.</t>
  </si>
  <si>
    <t>13:10 – 14:00</t>
  </si>
  <si>
    <t>The "Okayu" Lunch Break</t>
  </si>
  <si>
    <t>Eat while watching a stream. Active Listening.</t>
  </si>
  <si>
    <t>14:00 – 15:30</t>
  </si>
  <si>
    <t>Pure volume. Crank the music, just type.</t>
  </si>
  <si>
    <t>15:30 – 15:50</t>
  </si>
  <si>
    <t>Wrist Maintenance</t>
  </si>
  <si>
    <t>Critical: Ice your wrists or massage your forearms.</t>
  </si>
  <si>
    <t>15:50 – 17:20</t>
  </si>
  <si>
    <t>Connect what you learned in the morning.</t>
  </si>
  <si>
    <t>17:20 – 18:30</t>
  </si>
  <si>
    <t>The "Conan" Review</t>
  </si>
  <si>
    <t>Watch 2 episodes of Detective Conan. Try to spot 3 grammar points.</t>
  </si>
  <si>
    <t>18:30 – 20:00</t>
  </si>
  <si>
    <t>The "Wall." Push through the fatigue.</t>
  </si>
  <si>
    <t>20:00 – 21:00</t>
  </si>
  <si>
    <t>Dinner &amp; Recovery</t>
  </si>
  <si>
    <t>Real food. Step outside for air.</t>
  </si>
  <si>
    <t>21:00 – 22:30</t>
  </si>
  <si>
    <t>Finish the daily quota for vocab.</t>
  </si>
  <si>
    <t>22:30 – 00:00</t>
  </si>
  <si>
    <t>Final "Shadowing" Session</t>
  </si>
  <si>
    <t>Speak out loud what you typed today.</t>
  </si>
  <si>
    <t>00:00 – 07:00</t>
  </si>
  <si>
    <t>Memory Consolidation (Sleep)</t>
  </si>
  <si>
    <t>DO NOT SKIP. Your brain moves Anki data to long-term memory during REM.</t>
  </si>
  <si>
    <t xml:space="preserve">Session 1: </t>
  </si>
  <si>
    <t xml:space="preserve">Session 2: </t>
  </si>
  <si>
    <t>Session 3:</t>
  </si>
  <si>
    <t>Session 4:</t>
  </si>
  <si>
    <t xml:space="preserve">Session 5: </t>
  </si>
  <si>
    <t xml:space="preserve">Session 6: </t>
  </si>
  <si>
    <t>Session 7:</t>
  </si>
  <si>
    <t>Column2</t>
  </si>
  <si>
    <t>5</t>
  </si>
  <si>
    <t>Column3</t>
  </si>
  <si>
    <t>2</t>
  </si>
  <si>
    <t>50</t>
  </si>
  <si>
    <t>Category</t>
  </si>
  <si>
    <t>Shortcut</t>
  </si>
  <si>
    <t>Action</t>
  </si>
  <si>
    <t>Description</t>
  </si>
  <si>
    <t>System</t>
  </si>
  <si>
    <t>Ctrl + M</t>
  </si>
  <si>
    <t>Mute/Unmute</t>
  </si>
  <si>
    <t>Toggles sentence audio and sound effects.</t>
  </si>
  <si>
    <t>Ctrl + Enter</t>
  </si>
  <si>
    <t>Reset Quiz</t>
  </si>
  <si>
    <t>Triggers reset prompt (or instant reset if quiz is finished).</t>
  </si>
  <si>
    <t>Input</t>
  </si>
  <si>
    <r>
      <t>Shift + ~</t>
    </r>
    <r>
      <rPr>
        <sz val="11"/>
        <color rgb="FF1F1F1F"/>
        <rFont val="Arial"/>
        <family val="2"/>
      </rPr>
      <t xml:space="preserve"> (Backquote)</t>
    </r>
  </si>
  <si>
    <t>Toggle Input</t>
  </si>
  <si>
    <t>Moves text between Answer Box and Vocab Range Input.</t>
  </si>
  <si>
    <t>Enter</t>
  </si>
  <si>
    <t>Submit / Restart</t>
  </si>
  <si>
    <t>Submits answer or restarts quiz if the session is completed.</t>
  </si>
  <si>
    <t>Range Math</t>
  </si>
  <si>
    <t>Shift + 1</t>
  </si>
  <si>
    <t>Move Forward (+2)</t>
  </si>
  <si>
    <t>Sets range to (End+1) to (End+2). Starts quiz.</t>
  </si>
  <si>
    <t>Shift + 2</t>
  </si>
  <si>
    <t>Move Forward (+5)</t>
  </si>
  <si>
    <t>Sets range to (End+1) to (End+5). Starts quiz.</t>
  </si>
  <si>
    <t>Shift + 3</t>
  </si>
  <si>
    <t>Slide Back (-2)</t>
  </si>
  <si>
    <t>Moves current range window backward by 2.</t>
  </si>
  <si>
    <t>Shift + 4</t>
  </si>
  <si>
    <t>Slide Back (-5)</t>
  </si>
  <si>
    <t>Moves current range window backward by 5.</t>
  </si>
  <si>
    <t>Shift + 5</t>
  </si>
  <si>
    <t>Expand Start (-50)</t>
  </si>
  <si>
    <t>Keeps End point, but moves Start back by 50.</t>
  </si>
  <si>
    <t>Shift + 6</t>
  </si>
  <si>
    <t>Shrink End (-1)</t>
  </si>
  <si>
    <t>Subtracts 1 from the End point of the range.</t>
  </si>
  <si>
    <t>Confirmation</t>
  </si>
  <si>
    <t>Confirm Reset</t>
  </si>
  <si>
    <t>Used when "Reset Quiz?" prompt is visible (Yes).</t>
  </si>
  <si>
    <t>Cancel Reset</t>
  </si>
  <si>
    <t>Used when "Reset Quiz?" prompt is visible (No).</t>
  </si>
  <si>
    <t>Tabang sa Event ni Ate Dayen (Abtik) socks (Sat and Sun)</t>
  </si>
  <si>
    <t>Column4</t>
  </si>
  <si>
    <t>Passed N4 (Mock Test 1st)</t>
  </si>
  <si>
    <t>Passed N5 (Mock Test 1st)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</si>
</sst>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Aptos Narrow"/>
      <family val="2"/>
      <scheme val="minor"/>
    </font>
    <font>
      <sz val="11"/>
      <color rgb="FF1F1F1F"/>
      <name val="Arial"/>
      <family val="2"/>
    </font>
    <font>
      <b/>
      <sz val="11"/>
      <color rgb="FF1F1F1F"/>
      <name val="Arial"/>
      <family val="2"/>
    </font>
    <font>
      <sz val="8"/>
      <name val="Aptos Narrow"/>
      <family val="2"/>
      <scheme val="minor"/>
    </font>
    <font>
      <sz val="10"/>
      <color rgb="FF444746"/>
      <name val="Google Sans Text"/>
      <family val="2"/>
    </font>
    <font>
      <sz val="10"/>
      <color theme="1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0" tint="-0.34998626667073579"/>
        <bgColor theme="0" tint="-0.34998626667073579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499984740745262"/>
        <bgColor theme="0" tint="-0.14999847407452621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0" tint="-0.14999847407452621"/>
        <bgColor indexed="64"/>
      </patternFill>
    </fill>
  </fills>
  <borders count="11">
    <border>
      <left/>
      <right/>
      <top/>
      <bottom/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theme="0"/>
      </right>
      <top/>
      <bottom style="thin">
        <color theme="0"/>
      </bottom>
      <diagonal/>
    </border>
    <border>
      <left style="thin">
        <color theme="0"/>
      </left>
      <right style="thin">
        <color theme="0"/>
      </right>
      <top/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/>
      <top/>
      <bottom style="thin">
        <color theme="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44">
    <xf numFmtId="0" fontId="0" fillId="0" borderId="0" xfId="0"/>
    <xf numFmtId="0" fontId="0" fillId="2" borderId="0" xfId="0" applyFill="1"/>
    <xf numFmtId="14" fontId="0" fillId="0" borderId="0" xfId="0" applyNumberFormat="1"/>
    <xf numFmtId="0" fontId="0" fillId="0" borderId="0" xfId="0" applyAlignment="1">
      <alignment horizontal="center"/>
    </xf>
    <xf numFmtId="0" fontId="0" fillId="3" borderId="0" xfId="0" applyFill="1" applyAlignment="1">
      <alignment horizontal="center" vertical="center"/>
    </xf>
    <xf numFmtId="0" fontId="0" fillId="6" borderId="0" xfId="0" applyFill="1"/>
    <xf numFmtId="0" fontId="0" fillId="7" borderId="0" xfId="0" applyFill="1"/>
    <xf numFmtId="14" fontId="0" fillId="8" borderId="6" xfId="0" applyNumberFormat="1" applyFill="1" applyBorder="1"/>
    <xf numFmtId="0" fontId="0" fillId="9" borderId="7" xfId="0" applyFill="1" applyBorder="1" applyAlignment="1">
      <alignment horizontal="center" vertical="center"/>
    </xf>
    <xf numFmtId="0" fontId="0" fillId="8" borderId="7" xfId="0" applyFill="1" applyBorder="1"/>
    <xf numFmtId="0" fontId="0" fillId="9" borderId="8" xfId="0" applyFill="1" applyBorder="1" applyAlignment="1">
      <alignment horizontal="center" vertical="center"/>
    </xf>
    <xf numFmtId="0" fontId="0" fillId="9" borderId="9" xfId="0" applyFill="1" applyBorder="1" applyAlignment="1">
      <alignment horizontal="center" vertical="center"/>
    </xf>
    <xf numFmtId="0" fontId="2" fillId="0" borderId="10" xfId="0" applyFont="1" applyBorder="1" applyAlignment="1">
      <alignment horizontal="left" vertical="center" wrapText="1" indent="1" readingOrder="1"/>
    </xf>
    <xf numFmtId="0" fontId="1" fillId="0" borderId="10" xfId="0" applyFont="1" applyBorder="1" applyAlignment="1">
      <alignment horizontal="left" vertical="center" wrapText="1" indent="1" readingOrder="1"/>
    </xf>
    <xf numFmtId="0" fontId="0" fillId="3" borderId="0" xfId="0" applyFill="1"/>
    <xf numFmtId="0" fontId="0" fillId="10" borderId="0" xfId="0" applyFill="1"/>
    <xf numFmtId="0" fontId="0" fillId="7" borderId="9" xfId="0" applyFill="1" applyBorder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7" borderId="0" xfId="0" applyFill="1" applyBorder="1" applyAlignment="1">
      <alignment horizontal="center" vertical="center"/>
    </xf>
    <xf numFmtId="0" fontId="0" fillId="7" borderId="0" xfId="0" quotePrefix="1" applyFill="1" applyBorder="1" applyAlignment="1">
      <alignment horizontal="center" vertical="center" wrapText="1"/>
    </xf>
    <xf numFmtId="0" fontId="0" fillId="11" borderId="0" xfId="0" applyFill="1" applyAlignment="1">
      <alignment horizontal="center" vertical="center"/>
    </xf>
    <xf numFmtId="0" fontId="4" fillId="0" borderId="10" xfId="0" applyFont="1" applyBorder="1" applyAlignment="1">
      <alignment horizontal="left" vertical="center" wrapText="1" indent="1" readingOrder="1"/>
    </xf>
    <xf numFmtId="0" fontId="0" fillId="3" borderId="0" xfId="0" applyFill="1" applyAlignment="1">
      <alignment horizontal="center" vertical="center" wrapText="1"/>
    </xf>
    <xf numFmtId="14" fontId="0" fillId="4" borderId="1" xfId="0" applyNumberFormat="1" applyFill="1" applyBorder="1" applyAlignment="1">
      <alignment wrapText="1"/>
    </xf>
    <xf numFmtId="14" fontId="0" fillId="4" borderId="2" xfId="0" applyNumberFormat="1" applyFill="1" applyBorder="1" applyAlignment="1">
      <alignment wrapText="1"/>
    </xf>
    <xf numFmtId="0" fontId="0" fillId="4" borderId="2" xfId="0" applyFill="1" applyBorder="1" applyAlignment="1">
      <alignment wrapText="1"/>
    </xf>
    <xf numFmtId="0" fontId="0" fillId="4" borderId="2" xfId="0" applyFill="1" applyBorder="1" applyAlignment="1">
      <alignment vertical="center" wrapText="1"/>
    </xf>
    <xf numFmtId="0" fontId="0" fillId="3" borderId="3" xfId="0" applyFill="1" applyBorder="1" applyAlignment="1">
      <alignment horizontal="center" vertical="center" wrapText="1"/>
    </xf>
    <xf numFmtId="0" fontId="0" fillId="7" borderId="0" xfId="0" applyFill="1" applyAlignment="1">
      <alignment horizontal="center" vertical="center" wrapText="1"/>
    </xf>
    <xf numFmtId="0" fontId="0" fillId="11" borderId="0" xfId="0" applyFill="1" applyAlignment="1">
      <alignment horizontal="center" vertical="center" wrapText="1"/>
    </xf>
    <xf numFmtId="0" fontId="0" fillId="5" borderId="2" xfId="0" applyFill="1" applyBorder="1" applyAlignment="1">
      <alignment wrapText="1"/>
    </xf>
    <xf numFmtId="0" fontId="0" fillId="5" borderId="2" xfId="0" applyFill="1" applyBorder="1" applyAlignment="1">
      <alignment vertical="center" wrapText="1"/>
    </xf>
    <xf numFmtId="0" fontId="0" fillId="7" borderId="0" xfId="0" applyFill="1" applyBorder="1" applyAlignment="1">
      <alignment horizontal="center" vertical="center" wrapText="1"/>
    </xf>
    <xf numFmtId="0" fontId="0" fillId="4" borderId="4" xfId="0" applyFill="1" applyBorder="1" applyAlignment="1">
      <alignment wrapText="1"/>
    </xf>
    <xf numFmtId="0" fontId="0" fillId="4" borderId="4" xfId="0" applyFill="1" applyBorder="1" applyAlignment="1">
      <alignment vertical="center" wrapText="1"/>
    </xf>
    <xf numFmtId="0" fontId="0" fillId="3" borderId="5" xfId="0" applyFill="1" applyBorder="1" applyAlignment="1">
      <alignment horizontal="center" vertical="center" wrapText="1"/>
    </xf>
    <xf numFmtId="0" fontId="0" fillId="7" borderId="0" xfId="0" applyNumberFormat="1" applyFill="1" applyAlignment="1">
      <alignment horizontal="center" vertical="center" wrapText="1"/>
    </xf>
    <xf numFmtId="0" fontId="0" fillId="11" borderId="0" xfId="0" applyNumberFormat="1" applyFill="1" applyAlignment="1">
      <alignment horizontal="center" vertical="center" wrapText="1"/>
    </xf>
    <xf numFmtId="0" fontId="5" fillId="9" borderId="9" xfId="0" applyFont="1" applyFill="1" applyBorder="1" applyAlignment="1">
      <alignment horizontal="center" vertical="center"/>
    </xf>
    <xf numFmtId="0" fontId="5" fillId="3" borderId="0" xfId="0" applyFont="1" applyFill="1" applyAlignment="1">
      <alignment horizontal="center" vertical="center" wrapText="1"/>
    </xf>
    <xf numFmtId="0" fontId="5" fillId="7" borderId="0" xfId="0" applyFont="1" applyFill="1" applyAlignment="1">
      <alignment wrapText="1"/>
    </xf>
    <xf numFmtId="0" fontId="5" fillId="3" borderId="3" xfId="0" applyFont="1" applyFill="1" applyBorder="1" applyAlignment="1">
      <alignment horizontal="center" vertical="center" wrapText="1"/>
    </xf>
    <xf numFmtId="0" fontId="5" fillId="3" borderId="3" xfId="0" quotePrefix="1" applyFont="1" applyFill="1" applyBorder="1" applyAlignment="1">
      <alignment horizontal="center" vertical="center" wrapText="1"/>
    </xf>
    <xf numFmtId="0" fontId="5" fillId="0" borderId="0" xfId="0" applyFont="1"/>
  </cellXfs>
  <cellStyles count="1">
    <cellStyle name="Normal" xfId="0" builtinId="0"/>
  </cellStyles>
  <dxfs count="18">
    <dxf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0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</dxf>
    <dxf>
      <alignment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34998626667073579"/>
        </patternFill>
      </fill>
      <alignment horizontal="center" vertical="center" textRotation="0" wrapText="1" indent="0" justifyLastLine="0" shrinkToFit="0" readingOrder="0"/>
    </dxf>
    <dxf>
      <numFmt numFmtId="0" formatCode="General"/>
      <fill>
        <patternFill patternType="solid">
          <fgColor indexed="64"/>
          <bgColor theme="0" tint="-0.14999847407452621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indexed="64"/>
          <bgColor theme="1" tint="0.49998474074526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theme="0"/>
        </left>
        <right/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alignment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fill>
        <patternFill patternType="solid">
          <fgColor theme="0" tint="-0.34998626667073579"/>
          <bgColor theme="0" tint="-0.34998626667073579"/>
        </patternFill>
      </fill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0" tint="-0.34998626667073579"/>
          <bgColor theme="0" tint="-0.34998626667073579"/>
        </patternFill>
      </fill>
      <alignment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ptos Narrow"/>
        <family val="2"/>
        <scheme val="minor"/>
      </font>
      <numFmt numFmtId="19" formatCode="m/d/yyyy"/>
      <fill>
        <patternFill patternType="solid">
          <fgColor theme="0" tint="-0.34998626667073579"/>
          <bgColor theme="0" tint="-0.34998626667073579"/>
        </patternFill>
      </fill>
      <alignment textRotation="0" wrapText="1" indent="0" justifyLastLine="0" shrinkToFit="0" readingOrder="0"/>
      <border diagonalUp="0" diagonalDown="0" outline="0">
        <left/>
        <right style="thin">
          <color theme="0"/>
        </right>
        <top style="thin">
          <color theme="0"/>
        </top>
        <bottom style="thin">
          <color theme="0"/>
        </bottom>
      </border>
    </dxf>
    <dxf>
      <border outline="0">
        <top style="thin">
          <color theme="0"/>
        </top>
      </border>
    </dxf>
    <dxf>
      <border outline="0">
        <top style="thin">
          <color theme="0"/>
        </top>
        <bottom style="thin">
          <color theme="0"/>
        </bottom>
      </border>
    </dxf>
    <dxf>
      <border outline="0">
        <bottom style="thin">
          <color theme="0"/>
        </bottom>
      </border>
    </dxf>
    <dxf>
      <fill>
        <patternFill patternType="solid">
          <fgColor indexed="64"/>
          <bgColor theme="1" tint="0.499984740745262"/>
        </patternFill>
      </fill>
      <alignment horizontal="center" vertical="center" textRotation="0" wrapText="0" indent="0" justifyLastLine="0" shrinkToFit="0" readingOrder="0"/>
    </dxf>
    <dxf>
      <numFmt numFmtId="19" formatCode="m/d/yyyy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7F96007-1FC4-4819-9CF7-2B89C2B466D2}" name="Table1" displayName="Table1" ref="A1:E1048576" totalsRowShown="0" headerRowDxfId="17">
  <autoFilter ref="A1:E1048576" xr:uid="{D7F96007-1FC4-4819-9CF7-2B89C2B466D2}"/>
  <tableColumns count="5">
    <tableColumn id="1" xr3:uid="{DA9F35A9-28BE-467E-B5D1-B589BAB57093}" name="Date"/>
    <tableColumn id="5" xr3:uid="{2FDAEBD2-0D27-453F-AC49-ED79C90ED69B}" name="Column1" dataDxfId="16">
      <calculatedColumnFormula>TEXT(A2,"dddd")</calculatedColumnFormula>
    </tableColumn>
    <tableColumn id="2" xr3:uid="{DDBA3A4E-D3A1-41C1-89F9-C2AE7FEFE91F}" name="Number"/>
    <tableColumn id="3" xr3:uid="{1CEF1DF7-192E-4D06-82EB-6BC81C370EC7}" name="Must"/>
    <tableColumn id="4" xr3:uid="{6C564E0A-4C81-4AFA-88D0-DC5ED0E109D8}" name="Notes" dataDxfId="15"/>
  </tableColumns>
  <tableStyleInfo name="TableStyleMedium8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69D99E69-B3E0-4A05-8EC5-8355F684DDB9}" name="Table2" displayName="Table2" ref="A1:K20" totalsRowShown="0" dataDxfId="2" headerRowBorderDxfId="14" tableBorderDxfId="13" totalsRowBorderDxfId="12">
  <autoFilter ref="A1:K20" xr:uid="{69D99E69-B3E0-4A05-8EC5-8355F684DDB9}"/>
  <tableColumns count="11">
    <tableColumn id="1" xr3:uid="{C554A50F-9B05-4E88-96B0-EF419FAC3F63}" name="Date" dataDxfId="11"/>
    <tableColumn id="2" xr3:uid="{E7B0B357-5C11-4593-A917-E1F0A0BE22BA}" name="END OF N3" dataDxfId="10">
      <calculatedColumnFormula>TEXT(A2,"dddd")</calculatedColumnFormula>
    </tableColumn>
    <tableColumn id="3" xr3:uid="{17083DC3-337B-4AE9-9893-6D0E963076F0}" name="Count" dataDxfId="9"/>
    <tableColumn id="4" xr3:uid="{CDC7D777-E749-44D1-AE80-7765D6163513}" name="Number" dataDxfId="8"/>
    <tableColumn id="5" xr3:uid="{DC243566-1E75-4077-A37C-85F60D652C51}" name="Minutes of Studying" dataDxfId="7"/>
    <tableColumn id="8" xr3:uid="{9F048488-4B55-49EE-A094-68908100FF1E}" name="Increase in number " dataDxfId="6"/>
    <tableColumn id="9" xr3:uid="{2D45CC97-7B4F-47DC-A753-510D07827E76}" name="Minutes of Not doing shit" dataDxfId="5"/>
    <tableColumn id="7" xr3:uid="{FE910B77-D385-4FFC-826A-88E9A7C53247}" name="Column2" dataDxfId="1"/>
    <tableColumn id="11" xr3:uid="{A8FDBBB3-4A39-4C79-A2AE-686DF44E59FE}" name="Column1" dataDxfId="0"/>
    <tableColumn id="10" xr3:uid="{3D5BB1AA-4471-4EBA-A82C-0817293FA028}" name="Column3" dataDxfId="4"/>
    <tableColumn id="6" xr3:uid="{ACBA1B6F-2A16-4FB5-BFA6-B1E62BCC21F6}" name="Column4" dataDxfId="3"/>
  </tableColumns>
  <tableStyleInfo name="TableStyleMedium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44E270-0AE0-4C43-8F2E-DA456324A7A9}">
  <dimension ref="A1:AC69"/>
  <sheetViews>
    <sheetView zoomScale="115" zoomScaleNormal="115" workbookViewId="0">
      <selection activeCell="A41" sqref="A41:E56"/>
    </sheetView>
  </sheetViews>
  <sheetFormatPr defaultRowHeight="15"/>
  <cols>
    <col min="1" max="1" width="17.28515625" customWidth="1"/>
    <col min="2" max="2" width="17.28515625" style="2" customWidth="1"/>
    <col min="3" max="3" width="10.42578125" customWidth="1"/>
    <col min="5" max="5" width="21.7109375" style="4" customWidth="1"/>
    <col min="6" max="29" width="9.140625" style="1"/>
  </cols>
  <sheetData>
    <row r="1" spans="1:6">
      <c r="A1" s="3" t="s">
        <v>0</v>
      </c>
      <c r="B1" s="3" t="s">
        <v>7</v>
      </c>
      <c r="C1" s="3" t="s">
        <v>1</v>
      </c>
      <c r="D1" s="3" t="s">
        <v>2</v>
      </c>
      <c r="E1" s="4" t="s">
        <v>3</v>
      </c>
    </row>
    <row r="2" spans="1:6">
      <c r="A2" s="2">
        <v>46065</v>
      </c>
      <c r="C2">
        <v>1</v>
      </c>
      <c r="D2">
        <f>$F$2+(50*C2)</f>
        <v>1250</v>
      </c>
      <c r="E2" s="4">
        <v>1250</v>
      </c>
      <c r="F2" s="1">
        <v>1200</v>
      </c>
    </row>
    <row r="3" spans="1:6">
      <c r="A3" s="2">
        <v>46066</v>
      </c>
      <c r="C3">
        <v>2</v>
      </c>
      <c r="D3">
        <f t="shared" ref="D3:D39" si="0">$F$2+(50*C3)</f>
        <v>1300</v>
      </c>
      <c r="E3" s="4">
        <v>1280</v>
      </c>
    </row>
    <row r="4" spans="1:6">
      <c r="A4" s="2">
        <v>46067</v>
      </c>
      <c r="C4">
        <v>3</v>
      </c>
      <c r="D4">
        <f t="shared" si="0"/>
        <v>1350</v>
      </c>
      <c r="E4" s="4" t="s">
        <v>4</v>
      </c>
    </row>
    <row r="5" spans="1:6">
      <c r="A5" s="2">
        <v>46068</v>
      </c>
      <c r="C5">
        <v>4</v>
      </c>
      <c r="D5">
        <f t="shared" si="0"/>
        <v>1400</v>
      </c>
      <c r="E5" s="4">
        <v>1320</v>
      </c>
    </row>
    <row r="6" spans="1:6">
      <c r="A6" s="2">
        <v>46069</v>
      </c>
      <c r="C6">
        <v>5</v>
      </c>
      <c r="D6">
        <f t="shared" si="0"/>
        <v>1450</v>
      </c>
      <c r="E6" s="4">
        <v>1400</v>
      </c>
    </row>
    <row r="7" spans="1:6">
      <c r="A7" s="2">
        <v>46070</v>
      </c>
      <c r="C7">
        <v>6</v>
      </c>
      <c r="D7">
        <f t="shared" si="0"/>
        <v>1500</v>
      </c>
      <c r="E7" s="4" t="s">
        <v>6</v>
      </c>
    </row>
    <row r="8" spans="1:6">
      <c r="A8" s="2">
        <v>46071</v>
      </c>
      <c r="C8">
        <v>7</v>
      </c>
      <c r="D8">
        <f t="shared" si="0"/>
        <v>1550</v>
      </c>
    </row>
    <row r="9" spans="1:6">
      <c r="A9" s="2">
        <v>46072</v>
      </c>
      <c r="C9">
        <v>8</v>
      </c>
      <c r="D9">
        <f t="shared" si="0"/>
        <v>1600</v>
      </c>
    </row>
    <row r="10" spans="1:6">
      <c r="A10" s="2">
        <v>46073</v>
      </c>
      <c r="C10">
        <v>9</v>
      </c>
      <c r="D10">
        <f t="shared" si="0"/>
        <v>1650</v>
      </c>
    </row>
    <row r="11" spans="1:6">
      <c r="A11" s="2">
        <v>46074</v>
      </c>
      <c r="C11">
        <v>10</v>
      </c>
      <c r="D11">
        <f t="shared" si="0"/>
        <v>1700</v>
      </c>
    </row>
    <row r="12" spans="1:6">
      <c r="A12" s="2">
        <v>46075</v>
      </c>
      <c r="C12">
        <v>11</v>
      </c>
      <c r="D12">
        <f t="shared" si="0"/>
        <v>1750</v>
      </c>
    </row>
    <row r="13" spans="1:6">
      <c r="A13" s="2">
        <v>46076</v>
      </c>
      <c r="C13">
        <v>12</v>
      </c>
      <c r="D13">
        <f t="shared" si="0"/>
        <v>1800</v>
      </c>
    </row>
    <row r="14" spans="1:6">
      <c r="A14" s="2">
        <v>46077</v>
      </c>
      <c r="C14">
        <v>13</v>
      </c>
      <c r="D14">
        <f t="shared" si="0"/>
        <v>1850</v>
      </c>
    </row>
    <row r="15" spans="1:6">
      <c r="A15" s="2">
        <v>46078</v>
      </c>
      <c r="C15">
        <v>14</v>
      </c>
      <c r="D15">
        <f t="shared" si="0"/>
        <v>1900</v>
      </c>
    </row>
    <row r="16" spans="1:6">
      <c r="A16" s="2">
        <v>46079</v>
      </c>
      <c r="C16">
        <v>15</v>
      </c>
      <c r="D16">
        <f t="shared" si="0"/>
        <v>1950</v>
      </c>
    </row>
    <row r="17" spans="1:4">
      <c r="A17" s="2">
        <v>46080</v>
      </c>
      <c r="C17">
        <v>16</v>
      </c>
      <c r="D17">
        <f t="shared" si="0"/>
        <v>2000</v>
      </c>
    </row>
    <row r="18" spans="1:4">
      <c r="A18" s="2">
        <v>46081</v>
      </c>
      <c r="C18">
        <v>17</v>
      </c>
      <c r="D18">
        <f t="shared" si="0"/>
        <v>2050</v>
      </c>
    </row>
    <row r="19" spans="1:4">
      <c r="A19" s="2">
        <v>46082</v>
      </c>
      <c r="C19">
        <v>18</v>
      </c>
      <c r="D19">
        <f t="shared" si="0"/>
        <v>2100</v>
      </c>
    </row>
    <row r="20" spans="1:4">
      <c r="A20" s="2">
        <v>46083</v>
      </c>
      <c r="C20">
        <v>19</v>
      </c>
      <c r="D20">
        <f t="shared" si="0"/>
        <v>2150</v>
      </c>
    </row>
    <row r="21" spans="1:4">
      <c r="A21" s="2">
        <v>46084</v>
      </c>
      <c r="C21">
        <v>20</v>
      </c>
      <c r="D21">
        <f t="shared" si="0"/>
        <v>2200</v>
      </c>
    </row>
    <row r="22" spans="1:4">
      <c r="A22" s="2">
        <v>46085</v>
      </c>
      <c r="C22">
        <v>21</v>
      </c>
      <c r="D22">
        <f t="shared" si="0"/>
        <v>2250</v>
      </c>
    </row>
    <row r="23" spans="1:4">
      <c r="A23" s="2">
        <v>46086</v>
      </c>
      <c r="C23">
        <v>22</v>
      </c>
      <c r="D23">
        <f t="shared" si="0"/>
        <v>2300</v>
      </c>
    </row>
    <row r="24" spans="1:4">
      <c r="A24" s="2">
        <v>46087</v>
      </c>
      <c r="C24">
        <v>23</v>
      </c>
      <c r="D24">
        <f t="shared" si="0"/>
        <v>2350</v>
      </c>
    </row>
    <row r="25" spans="1:4">
      <c r="A25" s="2">
        <v>46088</v>
      </c>
      <c r="C25">
        <v>24</v>
      </c>
      <c r="D25">
        <f t="shared" si="0"/>
        <v>2400</v>
      </c>
    </row>
    <row r="26" spans="1:4">
      <c r="A26" s="2">
        <v>46089</v>
      </c>
      <c r="C26">
        <v>25</v>
      </c>
      <c r="D26">
        <f t="shared" si="0"/>
        <v>2450</v>
      </c>
    </row>
    <row r="27" spans="1:4">
      <c r="A27" s="2">
        <v>46090</v>
      </c>
      <c r="C27">
        <v>26</v>
      </c>
      <c r="D27">
        <f t="shared" si="0"/>
        <v>2500</v>
      </c>
    </row>
    <row r="28" spans="1:4">
      <c r="A28" s="2">
        <v>46091</v>
      </c>
      <c r="C28">
        <v>27</v>
      </c>
      <c r="D28">
        <f t="shared" si="0"/>
        <v>2550</v>
      </c>
    </row>
    <row r="29" spans="1:4">
      <c r="A29" s="2">
        <v>46092</v>
      </c>
      <c r="C29">
        <v>28</v>
      </c>
      <c r="D29">
        <f t="shared" si="0"/>
        <v>2600</v>
      </c>
    </row>
    <row r="30" spans="1:4">
      <c r="A30" s="2">
        <v>46093</v>
      </c>
      <c r="C30">
        <v>29</v>
      </c>
      <c r="D30">
        <f t="shared" si="0"/>
        <v>2650</v>
      </c>
    </row>
    <row r="31" spans="1:4">
      <c r="A31" s="2">
        <v>46094</v>
      </c>
      <c r="C31">
        <v>30</v>
      </c>
      <c r="D31">
        <f t="shared" si="0"/>
        <v>2700</v>
      </c>
    </row>
    <row r="32" spans="1:4">
      <c r="A32" s="2">
        <v>46095</v>
      </c>
      <c r="C32">
        <v>31</v>
      </c>
      <c r="D32">
        <f t="shared" si="0"/>
        <v>2750</v>
      </c>
    </row>
    <row r="33" spans="1:6">
      <c r="A33" s="2">
        <v>46096</v>
      </c>
      <c r="C33">
        <v>32</v>
      </c>
      <c r="D33">
        <f t="shared" si="0"/>
        <v>2800</v>
      </c>
    </row>
    <row r="34" spans="1:6">
      <c r="A34" s="2">
        <v>46097</v>
      </c>
      <c r="C34">
        <v>33</v>
      </c>
      <c r="D34">
        <f t="shared" si="0"/>
        <v>2850</v>
      </c>
    </row>
    <row r="35" spans="1:6">
      <c r="A35" s="2">
        <v>46098</v>
      </c>
      <c r="C35">
        <v>34</v>
      </c>
      <c r="D35">
        <f t="shared" si="0"/>
        <v>2900</v>
      </c>
    </row>
    <row r="36" spans="1:6">
      <c r="A36" s="2">
        <v>46099</v>
      </c>
      <c r="C36">
        <v>35</v>
      </c>
      <c r="D36">
        <f t="shared" si="0"/>
        <v>2950</v>
      </c>
    </row>
    <row r="37" spans="1:6">
      <c r="A37" s="2">
        <v>46100</v>
      </c>
      <c r="C37">
        <v>36</v>
      </c>
      <c r="D37">
        <f t="shared" si="0"/>
        <v>3000</v>
      </c>
    </row>
    <row r="38" spans="1:6">
      <c r="A38" s="2">
        <v>46101</v>
      </c>
      <c r="C38">
        <v>37</v>
      </c>
      <c r="D38">
        <f t="shared" si="0"/>
        <v>3050</v>
      </c>
    </row>
    <row r="39" spans="1:6">
      <c r="A39" s="2">
        <v>46102</v>
      </c>
      <c r="C39">
        <v>38</v>
      </c>
      <c r="D39">
        <f t="shared" si="0"/>
        <v>3100</v>
      </c>
    </row>
    <row r="40" spans="1:6">
      <c r="A40" s="2">
        <v>46103</v>
      </c>
      <c r="C40">
        <v>39</v>
      </c>
      <c r="D40">
        <f>$F$2+(50*C40)</f>
        <v>3150</v>
      </c>
    </row>
    <row r="41" spans="1:6">
      <c r="A41" s="2"/>
      <c r="B41" s="4" t="s">
        <v>5</v>
      </c>
      <c r="E41" s="4" t="s">
        <v>8</v>
      </c>
    </row>
    <row r="42" spans="1:6">
      <c r="A42" s="2">
        <v>46098</v>
      </c>
      <c r="B42" s="2" t="str">
        <f t="shared" ref="B42:B56" si="1">TEXT(A42,"dddd")</f>
        <v>Tuesday</v>
      </c>
      <c r="C42">
        <v>1</v>
      </c>
      <c r="D42">
        <v>160</v>
      </c>
      <c r="E42" s="4">
        <v>1.5</v>
      </c>
      <c r="F42" s="1">
        <v>0</v>
      </c>
    </row>
    <row r="43" spans="1:6">
      <c r="A43" s="2">
        <v>46099</v>
      </c>
      <c r="B43" s="2" t="str">
        <f t="shared" si="1"/>
        <v>Wednesday</v>
      </c>
      <c r="C43">
        <v>2</v>
      </c>
      <c r="D43">
        <v>350</v>
      </c>
      <c r="E43" s="4">
        <v>2.5</v>
      </c>
    </row>
    <row r="44" spans="1:6">
      <c r="A44" s="2">
        <v>46100</v>
      </c>
      <c r="B44" s="2" t="str">
        <f t="shared" si="1"/>
        <v>Thursday</v>
      </c>
      <c r="C44">
        <v>3</v>
      </c>
      <c r="D44">
        <v>440</v>
      </c>
      <c r="E44" s="4">
        <v>1.2</v>
      </c>
    </row>
    <row r="45" spans="1:6">
      <c r="A45" s="2">
        <v>46101</v>
      </c>
      <c r="B45" s="2" t="str">
        <f t="shared" si="1"/>
        <v>Friday</v>
      </c>
      <c r="C45">
        <v>4</v>
      </c>
      <c r="D45">
        <v>550</v>
      </c>
      <c r="E45" s="4">
        <v>2</v>
      </c>
    </row>
    <row r="46" spans="1:6">
      <c r="A46" s="2">
        <v>46102</v>
      </c>
      <c r="B46" s="2" t="str">
        <f t="shared" si="1"/>
        <v>Saturday</v>
      </c>
      <c r="C46">
        <v>5</v>
      </c>
      <c r="D46">
        <v>620</v>
      </c>
      <c r="E46" s="4">
        <v>1.25</v>
      </c>
    </row>
    <row r="47" spans="1:6">
      <c r="A47" s="2">
        <v>46103</v>
      </c>
      <c r="B47" s="2" t="str">
        <f t="shared" si="1"/>
        <v>Sunday</v>
      </c>
      <c r="C47">
        <v>6</v>
      </c>
    </row>
    <row r="48" spans="1:6">
      <c r="A48" s="2">
        <v>46104</v>
      </c>
      <c r="B48" s="2" t="str">
        <f t="shared" si="1"/>
        <v>Monday</v>
      </c>
      <c r="C48">
        <v>7</v>
      </c>
    </row>
    <row r="49" spans="1:3">
      <c r="A49" s="2">
        <v>46105</v>
      </c>
      <c r="B49" s="2" t="str">
        <f t="shared" si="1"/>
        <v>Tuesday</v>
      </c>
      <c r="C49">
        <v>8</v>
      </c>
    </row>
    <row r="50" spans="1:3">
      <c r="A50" s="2">
        <v>46106</v>
      </c>
      <c r="B50" s="2" t="str">
        <f t="shared" si="1"/>
        <v>Wednesday</v>
      </c>
      <c r="C50">
        <v>9</v>
      </c>
    </row>
    <row r="51" spans="1:3">
      <c r="A51" s="2">
        <v>46107</v>
      </c>
      <c r="B51" s="2" t="str">
        <f t="shared" si="1"/>
        <v>Thursday</v>
      </c>
      <c r="C51">
        <v>10</v>
      </c>
    </row>
    <row r="52" spans="1:3">
      <c r="A52" s="2">
        <v>46108</v>
      </c>
      <c r="B52" s="2" t="str">
        <f t="shared" si="1"/>
        <v>Friday</v>
      </c>
      <c r="C52">
        <v>11</v>
      </c>
    </row>
    <row r="53" spans="1:3">
      <c r="A53" s="2">
        <v>46109</v>
      </c>
      <c r="B53" s="2" t="str">
        <f t="shared" si="1"/>
        <v>Saturday</v>
      </c>
      <c r="C53">
        <v>12</v>
      </c>
    </row>
    <row r="54" spans="1:3">
      <c r="A54" s="2">
        <v>46110</v>
      </c>
      <c r="B54" s="2" t="str">
        <f t="shared" si="1"/>
        <v>Sunday</v>
      </c>
      <c r="C54">
        <v>13</v>
      </c>
    </row>
    <row r="55" spans="1:3">
      <c r="A55" s="2">
        <v>46111</v>
      </c>
      <c r="B55" s="2" t="str">
        <f t="shared" si="1"/>
        <v>Monday</v>
      </c>
      <c r="C55">
        <v>14</v>
      </c>
    </row>
    <row r="56" spans="1:3">
      <c r="A56" s="2">
        <v>46112</v>
      </c>
      <c r="B56" s="2" t="str">
        <f t="shared" si="1"/>
        <v>Tuesday</v>
      </c>
    </row>
    <row r="57" spans="1:3">
      <c r="A57" s="2"/>
    </row>
    <row r="58" spans="1:3">
      <c r="A58" s="2"/>
    </row>
    <row r="59" spans="1:3">
      <c r="A59" s="2"/>
    </row>
    <row r="60" spans="1:3">
      <c r="A60" s="2"/>
    </row>
    <row r="61" spans="1:3">
      <c r="A61" s="2"/>
    </row>
    <row r="62" spans="1:3">
      <c r="A62" s="2"/>
    </row>
    <row r="63" spans="1:3">
      <c r="A63" s="2"/>
    </row>
    <row r="64" spans="1:3">
      <c r="A64" s="2"/>
    </row>
    <row r="65" spans="1:1">
      <c r="A65" s="2"/>
    </row>
    <row r="66" spans="1:1">
      <c r="A66" s="2"/>
    </row>
    <row r="67" spans="1:1">
      <c r="A67" s="2"/>
    </row>
    <row r="68" spans="1:1">
      <c r="A68" s="2"/>
    </row>
    <row r="69" spans="1:1">
      <c r="A69" s="2"/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E4F928-C70A-45A0-8DF6-536F883563C9}">
  <dimension ref="A1:AD32"/>
  <sheetViews>
    <sheetView topLeftCell="A7" zoomScale="190" zoomScaleNormal="190" workbookViewId="0">
      <selection activeCell="C11" sqref="C11"/>
    </sheetView>
  </sheetViews>
  <sheetFormatPr defaultRowHeight="15"/>
  <cols>
    <col min="1" max="3" width="16.7109375" style="14" customWidth="1"/>
    <col min="4" max="24" width="9.140625" style="14"/>
    <col min="25" max="25" width="3.85546875" style="14" customWidth="1"/>
    <col min="26" max="30" width="9.140625" style="14"/>
  </cols>
  <sheetData>
    <row r="1" spans="1:30" s="15" customFormat="1">
      <c r="A1" s="16" t="s">
        <v>66</v>
      </c>
      <c r="B1" s="16" t="s">
        <v>63</v>
      </c>
      <c r="C1" s="16" t="s">
        <v>65</v>
      </c>
      <c r="D1" s="6"/>
      <c r="E1" s="6">
        <v>1231</v>
      </c>
      <c r="F1" s="6">
        <f>E1+1</f>
        <v>1232</v>
      </c>
      <c r="G1" s="6">
        <v>1231</v>
      </c>
      <c r="H1" s="6">
        <v>1235</v>
      </c>
      <c r="I1" s="6">
        <v>1261</v>
      </c>
      <c r="J1" s="6">
        <f>I1+1</f>
        <v>1262</v>
      </c>
      <c r="K1" s="14"/>
      <c r="L1" s="14"/>
      <c r="M1" s="14"/>
      <c r="N1" s="14"/>
      <c r="O1" s="14"/>
      <c r="P1" s="14"/>
      <c r="Q1" s="14"/>
      <c r="R1" s="14"/>
      <c r="S1" s="14"/>
      <c r="T1" s="14"/>
      <c r="U1" s="14"/>
      <c r="V1" s="14"/>
      <c r="W1" s="14"/>
      <c r="X1" s="14"/>
      <c r="Y1" s="14"/>
      <c r="Z1" s="14"/>
      <c r="AA1" s="14"/>
      <c r="AB1" s="14"/>
      <c r="AC1" s="14"/>
      <c r="AD1" s="14"/>
    </row>
    <row r="2" spans="1:30" s="15" customFormat="1">
      <c r="A2" s="17" t="str">
        <f t="shared" ref="A2:A16" si="0">E1 &amp; "-" &amp; F1</f>
        <v>1231-1232</v>
      </c>
      <c r="B2" s="20" t="str">
        <f t="shared" ref="B2:B16" si="1">G1 &amp; "-" &amp; H1</f>
        <v>1231-1235</v>
      </c>
      <c r="C2" s="17" t="str">
        <f t="shared" ref="C2:C16" si="2">I1 &amp; "-" &amp; J1</f>
        <v>1261-1262</v>
      </c>
      <c r="D2" s="6"/>
      <c r="E2" s="6">
        <f>E1+2</f>
        <v>1233</v>
      </c>
      <c r="F2" s="6">
        <f t="shared" ref="F2:F14" si="3">E2+1</f>
        <v>1234</v>
      </c>
      <c r="G2" s="6">
        <f>G1+5</f>
        <v>1236</v>
      </c>
      <c r="H2" s="6">
        <f>H1+5</f>
        <v>1240</v>
      </c>
      <c r="I2" s="6">
        <f>I1+2</f>
        <v>1263</v>
      </c>
      <c r="J2" s="6">
        <f t="shared" ref="J2:J14" si="4">I2+1</f>
        <v>1264</v>
      </c>
      <c r="K2" s="14"/>
      <c r="L2" s="14"/>
      <c r="M2" s="14"/>
      <c r="N2" s="14"/>
      <c r="O2" s="14"/>
      <c r="P2" s="14"/>
      <c r="Q2" s="14"/>
      <c r="R2" s="14"/>
      <c r="S2" s="14"/>
      <c r="T2" s="14"/>
      <c r="U2" s="14"/>
      <c r="V2" s="14"/>
      <c r="W2" s="14"/>
      <c r="X2" s="14"/>
      <c r="Y2" s="14"/>
      <c r="Z2" s="14"/>
      <c r="AA2" s="14"/>
      <c r="AB2" s="14"/>
      <c r="AC2" s="14"/>
      <c r="AD2" s="14"/>
    </row>
    <row r="3" spans="1:30" s="15" customFormat="1">
      <c r="A3" s="17" t="str">
        <f t="shared" si="0"/>
        <v>1233-1234</v>
      </c>
      <c r="B3" s="20" t="str">
        <f t="shared" si="1"/>
        <v>1236-1240</v>
      </c>
      <c r="C3" s="17" t="str">
        <f t="shared" si="2"/>
        <v>1263-1264</v>
      </c>
      <c r="D3" s="6"/>
      <c r="E3" s="6">
        <f t="shared" ref="E3:E15" si="5">E2+2</f>
        <v>1235</v>
      </c>
      <c r="F3" s="6">
        <f t="shared" si="3"/>
        <v>1236</v>
      </c>
      <c r="G3" s="6">
        <f t="shared" ref="G3:H15" si="6">G2+5</f>
        <v>1241</v>
      </c>
      <c r="H3" s="6">
        <f t="shared" si="6"/>
        <v>1245</v>
      </c>
      <c r="I3" s="6">
        <f t="shared" ref="I3:I15" si="7">I2+2</f>
        <v>1265</v>
      </c>
      <c r="J3" s="6">
        <f t="shared" si="4"/>
        <v>1266</v>
      </c>
      <c r="K3" s="14"/>
      <c r="L3" s="14"/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4"/>
      <c r="Y3" s="14"/>
      <c r="Z3" s="14"/>
      <c r="AA3" s="14"/>
      <c r="AB3" s="14"/>
      <c r="AC3" s="14"/>
      <c r="AD3" s="14"/>
    </row>
    <row r="4" spans="1:30" s="15" customFormat="1">
      <c r="A4" s="17" t="str">
        <f t="shared" si="0"/>
        <v>1235-1236</v>
      </c>
      <c r="B4" s="20" t="str">
        <f t="shared" si="1"/>
        <v>1241-1245</v>
      </c>
      <c r="C4" s="17" t="str">
        <f t="shared" si="2"/>
        <v>1265-1266</v>
      </c>
      <c r="D4" s="6"/>
      <c r="E4" s="6">
        <f t="shared" si="5"/>
        <v>1237</v>
      </c>
      <c r="F4" s="6">
        <f t="shared" si="3"/>
        <v>1238</v>
      </c>
      <c r="G4" s="6">
        <f t="shared" si="6"/>
        <v>1246</v>
      </c>
      <c r="H4" s="6">
        <f t="shared" si="6"/>
        <v>1250</v>
      </c>
      <c r="I4" s="6">
        <f t="shared" si="7"/>
        <v>1267</v>
      </c>
      <c r="J4" s="6">
        <f t="shared" si="4"/>
        <v>1268</v>
      </c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  <c r="V4" s="14"/>
      <c r="W4" s="14"/>
      <c r="X4" s="14"/>
      <c r="Y4" s="14"/>
      <c r="Z4" s="14"/>
      <c r="AA4" s="14"/>
      <c r="AB4" s="14"/>
      <c r="AC4" s="14"/>
      <c r="AD4" s="14"/>
    </row>
    <row r="5" spans="1:30" s="15" customFormat="1">
      <c r="A5" s="17" t="str">
        <f t="shared" si="0"/>
        <v>1237-1238</v>
      </c>
      <c r="B5" s="20" t="str">
        <f>G4 &amp; "-" &amp; H4</f>
        <v>1246-1250</v>
      </c>
      <c r="C5" s="17" t="str">
        <f t="shared" si="2"/>
        <v>1267-1268</v>
      </c>
      <c r="D5" s="6"/>
      <c r="E5" s="6">
        <f t="shared" si="5"/>
        <v>1239</v>
      </c>
      <c r="F5" s="6">
        <f t="shared" si="3"/>
        <v>1240</v>
      </c>
      <c r="G5" s="6">
        <f t="shared" si="6"/>
        <v>1251</v>
      </c>
      <c r="H5" s="6">
        <f t="shared" si="6"/>
        <v>1255</v>
      </c>
      <c r="I5" s="6">
        <f t="shared" si="7"/>
        <v>1269</v>
      </c>
      <c r="J5" s="6">
        <f t="shared" si="4"/>
        <v>1270</v>
      </c>
      <c r="K5" s="14"/>
      <c r="L5" s="14"/>
      <c r="M5" s="14"/>
      <c r="N5" s="14"/>
      <c r="O5" s="14"/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</row>
    <row r="6" spans="1:30" s="15" customFormat="1">
      <c r="A6" s="17" t="str">
        <f t="shared" si="0"/>
        <v>1239-1240</v>
      </c>
      <c r="B6" s="20" t="str">
        <f t="shared" si="1"/>
        <v>1251-1255</v>
      </c>
      <c r="C6" s="17" t="str">
        <f t="shared" si="2"/>
        <v>1269-1270</v>
      </c>
      <c r="D6" s="6"/>
      <c r="E6" s="6">
        <f t="shared" si="5"/>
        <v>1241</v>
      </c>
      <c r="F6" s="6">
        <f t="shared" si="3"/>
        <v>1242</v>
      </c>
      <c r="G6" s="6">
        <f t="shared" si="6"/>
        <v>1256</v>
      </c>
      <c r="H6" s="6">
        <f t="shared" si="6"/>
        <v>1260</v>
      </c>
      <c r="I6" s="6">
        <f t="shared" si="7"/>
        <v>1271</v>
      </c>
      <c r="J6" s="6">
        <f t="shared" si="4"/>
        <v>1272</v>
      </c>
      <c r="K6" s="14"/>
      <c r="L6" s="14"/>
      <c r="M6" s="14"/>
      <c r="N6" s="14"/>
      <c r="O6" s="14"/>
      <c r="P6" s="14"/>
      <c r="Q6" s="14"/>
      <c r="R6" s="14"/>
      <c r="S6" s="14"/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</row>
    <row r="7" spans="1:30" s="15" customFormat="1">
      <c r="A7" s="17" t="str">
        <f t="shared" si="0"/>
        <v>1241-1242</v>
      </c>
      <c r="B7" s="20" t="str">
        <f t="shared" si="1"/>
        <v>1256-1260</v>
      </c>
      <c r="C7" s="17" t="str">
        <f t="shared" si="2"/>
        <v>1271-1272</v>
      </c>
      <c r="D7" s="6"/>
      <c r="E7" s="6">
        <f t="shared" si="5"/>
        <v>1243</v>
      </c>
      <c r="F7" s="6">
        <f t="shared" si="3"/>
        <v>1244</v>
      </c>
      <c r="G7" s="6">
        <f t="shared" si="6"/>
        <v>1261</v>
      </c>
      <c r="H7" s="6">
        <f t="shared" si="6"/>
        <v>1265</v>
      </c>
      <c r="I7" s="6">
        <f t="shared" si="7"/>
        <v>1273</v>
      </c>
      <c r="J7" s="6">
        <f t="shared" si="4"/>
        <v>1274</v>
      </c>
      <c r="K7" s="14"/>
      <c r="L7" s="14"/>
      <c r="M7" s="14"/>
      <c r="N7" s="14"/>
      <c r="O7" s="14"/>
      <c r="P7" s="14"/>
      <c r="Q7" s="14"/>
      <c r="R7" s="14"/>
      <c r="S7" s="14"/>
      <c r="T7" s="14"/>
      <c r="U7" s="14"/>
      <c r="V7" s="14"/>
      <c r="W7" s="14"/>
      <c r="X7" s="14"/>
      <c r="Y7" s="14"/>
      <c r="Z7" s="14"/>
      <c r="AA7" s="14"/>
      <c r="AB7" s="14"/>
      <c r="AC7" s="14"/>
      <c r="AD7" s="14"/>
    </row>
    <row r="8" spans="1:30" s="15" customFormat="1">
      <c r="A8" s="18" t="str">
        <f t="shared" si="0"/>
        <v>1243-1244</v>
      </c>
      <c r="B8" s="20" t="str">
        <f t="shared" si="1"/>
        <v>1261-1265</v>
      </c>
      <c r="C8" s="17" t="str">
        <f t="shared" si="2"/>
        <v>1273-1274</v>
      </c>
      <c r="D8" s="6"/>
      <c r="E8" s="6">
        <f t="shared" si="5"/>
        <v>1245</v>
      </c>
      <c r="F8" s="6">
        <f t="shared" si="3"/>
        <v>1246</v>
      </c>
      <c r="G8" s="6">
        <f t="shared" si="6"/>
        <v>1266</v>
      </c>
      <c r="H8" s="6">
        <f t="shared" si="6"/>
        <v>1270</v>
      </c>
      <c r="I8" s="6">
        <f t="shared" si="7"/>
        <v>1275</v>
      </c>
      <c r="J8" s="6">
        <f t="shared" si="4"/>
        <v>1276</v>
      </c>
      <c r="K8" s="14"/>
      <c r="L8" s="14"/>
      <c r="M8" s="14"/>
      <c r="N8" s="14"/>
      <c r="O8" s="14"/>
      <c r="P8" s="14"/>
      <c r="Q8" s="14"/>
      <c r="R8" s="14"/>
      <c r="S8" s="14"/>
      <c r="T8" s="14"/>
      <c r="U8" s="14"/>
      <c r="V8" s="14"/>
      <c r="W8" s="14"/>
      <c r="X8" s="14"/>
      <c r="Y8" s="14"/>
      <c r="Z8" s="14"/>
      <c r="AA8" s="14"/>
      <c r="AB8" s="14"/>
      <c r="AC8" s="14"/>
      <c r="AD8" s="14"/>
    </row>
    <row r="9" spans="1:30" s="15" customFormat="1">
      <c r="A9" s="19" t="str">
        <f t="shared" si="0"/>
        <v>1245-1246</v>
      </c>
      <c r="B9" s="20" t="str">
        <f t="shared" si="1"/>
        <v>1266-1270</v>
      </c>
      <c r="C9" s="17" t="str">
        <f t="shared" si="2"/>
        <v>1275-1276</v>
      </c>
      <c r="D9" s="6"/>
      <c r="E9" s="6">
        <f t="shared" si="5"/>
        <v>1247</v>
      </c>
      <c r="F9" s="6">
        <f t="shared" si="3"/>
        <v>1248</v>
      </c>
      <c r="G9" s="6">
        <f t="shared" si="6"/>
        <v>1271</v>
      </c>
      <c r="H9" s="6">
        <f t="shared" si="6"/>
        <v>1275</v>
      </c>
      <c r="I9" s="6">
        <f t="shared" si="7"/>
        <v>1277</v>
      </c>
      <c r="J9" s="6">
        <f t="shared" si="4"/>
        <v>1278</v>
      </c>
      <c r="K9" s="14"/>
      <c r="L9" s="14"/>
      <c r="M9" s="14"/>
      <c r="N9" s="14"/>
      <c r="O9" s="14"/>
      <c r="P9" s="14"/>
      <c r="Q9" s="14"/>
      <c r="R9" s="14"/>
      <c r="S9" s="14"/>
      <c r="T9" s="14"/>
      <c r="U9" s="14"/>
      <c r="V9" s="14"/>
      <c r="W9" s="14"/>
      <c r="X9" s="14"/>
      <c r="Y9" s="14"/>
      <c r="Z9" s="14"/>
      <c r="AA9" s="14"/>
      <c r="AB9" s="14"/>
      <c r="AC9" s="14"/>
      <c r="AD9" s="14"/>
    </row>
    <row r="10" spans="1:30" s="15" customFormat="1">
      <c r="A10" s="17" t="str">
        <f t="shared" si="0"/>
        <v>1247-1248</v>
      </c>
      <c r="B10" s="20" t="str">
        <f t="shared" si="1"/>
        <v>1271-1275</v>
      </c>
      <c r="C10" s="17" t="str">
        <f t="shared" si="2"/>
        <v>1277-1278</v>
      </c>
      <c r="D10" s="6"/>
      <c r="E10" s="6">
        <f t="shared" si="5"/>
        <v>1249</v>
      </c>
      <c r="F10" s="6">
        <f t="shared" si="3"/>
        <v>1250</v>
      </c>
      <c r="G10" s="6">
        <f t="shared" si="6"/>
        <v>1276</v>
      </c>
      <c r="H10" s="6">
        <f t="shared" si="6"/>
        <v>1280</v>
      </c>
      <c r="I10" s="6">
        <f t="shared" si="7"/>
        <v>1279</v>
      </c>
      <c r="J10" s="6">
        <f t="shared" si="4"/>
        <v>1280</v>
      </c>
      <c r="K10" s="14"/>
      <c r="L10" s="14"/>
      <c r="M10" s="14"/>
      <c r="N10" s="14"/>
      <c r="O10" s="14"/>
      <c r="P10" s="14"/>
      <c r="Q10" s="14"/>
      <c r="R10" s="14"/>
      <c r="S10" s="14"/>
      <c r="T10" s="14"/>
      <c r="U10" s="14"/>
      <c r="V10" s="14"/>
      <c r="W10" s="14"/>
      <c r="X10" s="14"/>
      <c r="Y10" s="14"/>
      <c r="Z10" s="14"/>
      <c r="AA10" s="14"/>
      <c r="AB10" s="14"/>
      <c r="AC10" s="14"/>
      <c r="AD10" s="14"/>
    </row>
    <row r="11" spans="1:30" s="15" customFormat="1">
      <c r="A11" s="17" t="str">
        <f t="shared" si="0"/>
        <v>1249-1250</v>
      </c>
      <c r="B11" s="20" t="str">
        <f t="shared" si="1"/>
        <v>1276-1280</v>
      </c>
      <c r="C11" s="17" t="str">
        <f t="shared" si="2"/>
        <v>1279-1280</v>
      </c>
      <c r="D11" s="6"/>
      <c r="E11" s="6">
        <f t="shared" si="5"/>
        <v>1251</v>
      </c>
      <c r="F11" s="6">
        <f t="shared" si="3"/>
        <v>1252</v>
      </c>
      <c r="G11" s="6">
        <f t="shared" si="6"/>
        <v>1281</v>
      </c>
      <c r="H11" s="6">
        <f t="shared" si="6"/>
        <v>1285</v>
      </c>
      <c r="I11" s="6">
        <f t="shared" si="7"/>
        <v>1281</v>
      </c>
      <c r="J11" s="6">
        <f t="shared" si="4"/>
        <v>1282</v>
      </c>
      <c r="K11" s="14"/>
      <c r="L11" s="14"/>
      <c r="M11" s="14"/>
      <c r="N11" s="14"/>
      <c r="O11" s="14"/>
      <c r="P11" s="14"/>
      <c r="Q11" s="14"/>
      <c r="R11" s="14"/>
      <c r="S11" s="14"/>
      <c r="T11" s="14"/>
      <c r="U11" s="14"/>
      <c r="V11" s="14"/>
      <c r="W11" s="14"/>
      <c r="X11" s="14"/>
      <c r="Y11" s="14"/>
      <c r="Z11" s="14"/>
      <c r="AA11" s="14"/>
      <c r="AB11" s="14"/>
      <c r="AC11" s="14"/>
      <c r="AD11" s="14"/>
    </row>
    <row r="12" spans="1:30" s="15" customFormat="1">
      <c r="A12" s="17" t="str">
        <f t="shared" si="0"/>
        <v>1251-1252</v>
      </c>
      <c r="B12" s="20" t="str">
        <f t="shared" si="1"/>
        <v>1281-1285</v>
      </c>
      <c r="C12" s="17" t="str">
        <f t="shared" si="2"/>
        <v>1281-1282</v>
      </c>
      <c r="D12" s="6"/>
      <c r="E12" s="6">
        <f t="shared" si="5"/>
        <v>1253</v>
      </c>
      <c r="F12" s="6">
        <f t="shared" si="3"/>
        <v>1254</v>
      </c>
      <c r="G12" s="6">
        <f t="shared" si="6"/>
        <v>1286</v>
      </c>
      <c r="H12" s="6">
        <f t="shared" si="6"/>
        <v>1290</v>
      </c>
      <c r="I12" s="6">
        <f t="shared" si="7"/>
        <v>1283</v>
      </c>
      <c r="J12" s="6">
        <f t="shared" si="4"/>
        <v>1284</v>
      </c>
      <c r="K12" s="14"/>
      <c r="L12" s="14"/>
      <c r="M12" s="14"/>
      <c r="N12" s="14"/>
      <c r="O12" s="14"/>
      <c r="P12" s="14"/>
      <c r="Q12" s="14"/>
      <c r="R12" s="14"/>
      <c r="S12" s="14"/>
      <c r="T12" s="14"/>
      <c r="U12" s="14"/>
      <c r="V12" s="14"/>
      <c r="W12" s="14"/>
      <c r="X12" s="14"/>
      <c r="Y12" s="14"/>
      <c r="Z12" s="14"/>
      <c r="AA12" s="14"/>
      <c r="AB12" s="14"/>
      <c r="AC12" s="14"/>
      <c r="AD12" s="14"/>
    </row>
    <row r="13" spans="1:30" s="15" customFormat="1">
      <c r="A13" s="17" t="str">
        <f t="shared" si="0"/>
        <v>1253-1254</v>
      </c>
      <c r="B13" s="20" t="str">
        <f t="shared" si="1"/>
        <v>1286-1290</v>
      </c>
      <c r="C13" s="17" t="str">
        <f t="shared" si="2"/>
        <v>1283-1284</v>
      </c>
      <c r="D13" s="6"/>
      <c r="E13" s="6">
        <f t="shared" si="5"/>
        <v>1255</v>
      </c>
      <c r="F13" s="6">
        <f t="shared" si="3"/>
        <v>1256</v>
      </c>
      <c r="G13" s="6">
        <f t="shared" si="6"/>
        <v>1291</v>
      </c>
      <c r="H13" s="6">
        <f t="shared" si="6"/>
        <v>1295</v>
      </c>
      <c r="I13" s="6">
        <f t="shared" si="7"/>
        <v>1285</v>
      </c>
      <c r="J13" s="6">
        <f t="shared" si="4"/>
        <v>1286</v>
      </c>
      <c r="K13" s="14"/>
      <c r="L13" s="14"/>
      <c r="M13" s="14"/>
      <c r="N13" s="14"/>
      <c r="O13" s="14"/>
      <c r="P13" s="14"/>
      <c r="Q13" s="14"/>
      <c r="R13" s="14"/>
      <c r="S13" s="14"/>
      <c r="T13" s="14"/>
      <c r="U13" s="14"/>
      <c r="V13" s="14"/>
      <c r="W13" s="14"/>
      <c r="X13" s="14"/>
      <c r="Y13" s="14"/>
      <c r="Z13" s="14"/>
      <c r="AA13" s="14"/>
      <c r="AB13" s="14"/>
      <c r="AC13" s="14"/>
      <c r="AD13" s="14"/>
    </row>
    <row r="14" spans="1:30" s="15" customFormat="1">
      <c r="A14" s="17" t="str">
        <f t="shared" si="0"/>
        <v>1255-1256</v>
      </c>
      <c r="B14" s="20" t="str">
        <f t="shared" si="1"/>
        <v>1291-1295</v>
      </c>
      <c r="C14" s="17" t="str">
        <f t="shared" si="2"/>
        <v>1285-1286</v>
      </c>
      <c r="D14" s="6"/>
      <c r="E14" s="6">
        <f t="shared" si="5"/>
        <v>1257</v>
      </c>
      <c r="F14" s="6">
        <f t="shared" si="3"/>
        <v>1258</v>
      </c>
      <c r="G14" s="6">
        <f t="shared" si="6"/>
        <v>1296</v>
      </c>
      <c r="H14" s="6">
        <f t="shared" si="6"/>
        <v>1300</v>
      </c>
      <c r="I14" s="6">
        <f t="shared" si="7"/>
        <v>1287</v>
      </c>
      <c r="J14" s="6">
        <f t="shared" si="4"/>
        <v>1288</v>
      </c>
      <c r="K14" s="14"/>
      <c r="L14" s="14"/>
      <c r="M14" s="14"/>
      <c r="N14" s="14"/>
      <c r="O14" s="14"/>
      <c r="P14" s="14"/>
      <c r="Q14" s="14"/>
      <c r="R14" s="14"/>
      <c r="S14" s="14"/>
      <c r="T14" s="14"/>
      <c r="U14" s="14"/>
      <c r="V14" s="14"/>
      <c r="W14" s="14"/>
      <c r="X14" s="14"/>
      <c r="Y14" s="14"/>
      <c r="Z14" s="14"/>
      <c r="AA14" s="14"/>
      <c r="AB14" s="14"/>
      <c r="AC14" s="14"/>
      <c r="AD14" s="14"/>
    </row>
    <row r="15" spans="1:30" s="15" customFormat="1">
      <c r="A15" s="17" t="str">
        <f t="shared" si="0"/>
        <v>1257-1258</v>
      </c>
      <c r="B15" s="20" t="str">
        <f t="shared" si="1"/>
        <v>1296-1300</v>
      </c>
      <c r="C15" s="17" t="str">
        <f t="shared" si="2"/>
        <v>1287-1288</v>
      </c>
      <c r="D15" s="6"/>
      <c r="E15" s="6">
        <f t="shared" si="5"/>
        <v>1259</v>
      </c>
      <c r="F15" s="6"/>
      <c r="G15" s="6">
        <f t="shared" si="6"/>
        <v>1301</v>
      </c>
      <c r="H15" s="6">
        <f t="shared" si="6"/>
        <v>1305</v>
      </c>
      <c r="I15" s="6">
        <f t="shared" si="7"/>
        <v>1289</v>
      </c>
      <c r="J15" s="6"/>
      <c r="K15" s="14"/>
      <c r="L15" s="14"/>
      <c r="M15" s="14"/>
      <c r="N15" s="14"/>
      <c r="O15" s="14"/>
      <c r="P15" s="14"/>
      <c r="Q15" s="14"/>
      <c r="R15" s="14"/>
      <c r="S15" s="14"/>
      <c r="T15" s="14"/>
      <c r="U15" s="14"/>
      <c r="V15" s="14"/>
      <c r="W15" s="14"/>
      <c r="X15" s="14"/>
      <c r="Y15" s="14"/>
      <c r="Z15" s="14"/>
      <c r="AA15" s="14"/>
      <c r="AB15" s="14"/>
      <c r="AC15" s="14"/>
      <c r="AD15" s="14"/>
    </row>
    <row r="16" spans="1:30" s="15" customFormat="1">
      <c r="A16" s="17" t="str">
        <f t="shared" si="0"/>
        <v>1259-</v>
      </c>
      <c r="B16" s="20" t="str">
        <f t="shared" si="1"/>
        <v>1301-1305</v>
      </c>
      <c r="C16" s="17" t="str">
        <f t="shared" si="2"/>
        <v>1289-</v>
      </c>
      <c r="D16" s="6"/>
      <c r="E16" s="6"/>
      <c r="F16" s="6"/>
      <c r="G16" s="6"/>
      <c r="H16" s="6"/>
      <c r="I16" s="6"/>
      <c r="J16" s="6"/>
      <c r="K16" s="14"/>
      <c r="L16" s="14"/>
      <c r="M16" s="14"/>
      <c r="N16" s="14"/>
      <c r="O16" s="14"/>
      <c r="P16" s="14"/>
      <c r="Q16" s="14"/>
      <c r="R16" s="14"/>
      <c r="S16" s="14"/>
      <c r="T16" s="14"/>
      <c r="U16" s="14"/>
      <c r="V16" s="14"/>
      <c r="W16" s="14"/>
      <c r="X16" s="14"/>
      <c r="Y16" s="14"/>
      <c r="Z16" s="14"/>
      <c r="AA16" s="14"/>
      <c r="AB16" s="14"/>
      <c r="AC16" s="14"/>
      <c r="AD16" s="14"/>
    </row>
    <row r="17" spans="1:30" s="15" customFormat="1">
      <c r="A17" s="14"/>
      <c r="B17" s="14"/>
      <c r="C17" s="14"/>
      <c r="D17" s="14"/>
      <c r="E17" s="14"/>
      <c r="F17" s="14"/>
      <c r="G17" s="14"/>
      <c r="H17" s="14"/>
      <c r="I17" s="14"/>
      <c r="J17" s="14"/>
      <c r="K17" s="14"/>
      <c r="L17" s="14"/>
      <c r="M17" s="14"/>
      <c r="N17" s="14"/>
      <c r="O17" s="14"/>
      <c r="P17" s="14"/>
      <c r="Q17" s="14"/>
      <c r="R17" s="14"/>
      <c r="S17" s="14"/>
      <c r="T17" s="14"/>
      <c r="U17" s="14"/>
      <c r="V17" s="14"/>
      <c r="W17" s="14"/>
      <c r="X17" s="14"/>
      <c r="Y17" s="14"/>
      <c r="Z17" s="14"/>
      <c r="AA17" s="14"/>
      <c r="AB17" s="14"/>
      <c r="AC17" s="14"/>
      <c r="AD17" s="14"/>
    </row>
    <row r="18" spans="1:30" s="15" customFormat="1">
      <c r="A18" s="14"/>
      <c r="B18" s="14"/>
      <c r="C18" s="14"/>
      <c r="D18" s="14"/>
      <c r="E18" s="14"/>
      <c r="F18" s="14"/>
      <c r="G18" s="14"/>
      <c r="H18" s="14"/>
      <c r="I18" s="14"/>
      <c r="J18" s="14"/>
      <c r="K18" s="14"/>
      <c r="L18" s="14"/>
      <c r="M18" s="14"/>
      <c r="N18" s="14"/>
      <c r="O18" s="14"/>
      <c r="P18" s="14"/>
      <c r="Q18" s="14"/>
      <c r="R18" s="14"/>
      <c r="S18" s="14"/>
      <c r="T18" s="14"/>
      <c r="U18" s="14"/>
      <c r="V18" s="14"/>
      <c r="W18" s="14"/>
      <c r="X18" s="14"/>
      <c r="Y18" s="14"/>
      <c r="Z18" s="14"/>
      <c r="AA18" s="14"/>
      <c r="AB18" s="14"/>
      <c r="AC18" s="14"/>
      <c r="AD18" s="14"/>
    </row>
    <row r="19" spans="1:30" s="15" customFormat="1">
      <c r="A19" s="14"/>
      <c r="B19" s="14"/>
      <c r="C19" s="14"/>
      <c r="D19" s="14"/>
      <c r="E19" s="14"/>
      <c r="F19" s="14"/>
      <c r="G19" s="14"/>
      <c r="H19" s="14"/>
      <c r="I19" s="14"/>
      <c r="J19" s="14"/>
      <c r="K19" s="14"/>
      <c r="L19" s="14"/>
      <c r="M19" s="14"/>
      <c r="N19" s="14"/>
      <c r="O19" s="14"/>
      <c r="P19" s="14"/>
      <c r="Q19" s="14"/>
      <c r="R19" s="14"/>
      <c r="S19" s="14"/>
      <c r="T19" s="14"/>
      <c r="U19" s="14"/>
      <c r="V19" s="14"/>
      <c r="W19" s="14"/>
      <c r="X19" s="14"/>
      <c r="Y19" s="14"/>
      <c r="Z19" s="14"/>
      <c r="AA19" s="14"/>
      <c r="AB19" s="14"/>
      <c r="AC19" s="14"/>
      <c r="AD19" s="14"/>
    </row>
    <row r="20" spans="1:30" s="15" customFormat="1">
      <c r="A20" s="14"/>
      <c r="B20" s="14"/>
      <c r="C20" s="14"/>
      <c r="D20" s="14"/>
      <c r="E20" s="14"/>
      <c r="F20" s="14"/>
      <c r="G20" s="14"/>
      <c r="H20" s="14"/>
      <c r="I20" s="14"/>
      <c r="J20" s="14"/>
      <c r="K20" s="14"/>
      <c r="L20" s="14"/>
      <c r="M20" s="14"/>
      <c r="N20" s="14"/>
      <c r="O20" s="14"/>
      <c r="P20" s="14"/>
      <c r="Q20" s="14"/>
      <c r="R20" s="14"/>
      <c r="S20" s="14"/>
      <c r="T20" s="14"/>
      <c r="U20" s="14"/>
      <c r="V20" s="14"/>
      <c r="W20" s="14"/>
      <c r="X20" s="14"/>
      <c r="Y20" s="14"/>
      <c r="Z20" s="14"/>
      <c r="AA20" s="14"/>
      <c r="AB20" s="14"/>
      <c r="AC20" s="14"/>
      <c r="AD20" s="14"/>
    </row>
    <row r="21" spans="1:30" s="15" customFormat="1">
      <c r="A21" s="14"/>
      <c r="B21" s="14"/>
      <c r="C21" s="14"/>
      <c r="D21" s="14"/>
      <c r="E21" s="14"/>
      <c r="F21" s="14"/>
      <c r="G21" s="14"/>
      <c r="H21" s="14"/>
      <c r="I21" s="14"/>
      <c r="J21" s="14"/>
      <c r="K21" s="14"/>
      <c r="L21" s="14"/>
      <c r="M21" s="14"/>
      <c r="N21" s="14"/>
      <c r="O21" s="14"/>
      <c r="P21" s="14"/>
      <c r="Q21" s="14"/>
      <c r="R21" s="14"/>
      <c r="S21" s="14"/>
      <c r="T21" s="14"/>
      <c r="U21" s="14"/>
      <c r="V21" s="14"/>
      <c r="W21" s="14"/>
      <c r="X21" s="14"/>
      <c r="Y21" s="14"/>
      <c r="Z21" s="14"/>
      <c r="AA21" s="14"/>
      <c r="AB21" s="14"/>
      <c r="AC21" s="14"/>
      <c r="AD21" s="14"/>
    </row>
    <row r="22" spans="1:30" s="15" customFormat="1">
      <c r="A22" s="14"/>
      <c r="B22" s="14"/>
      <c r="C22" s="14"/>
      <c r="D22" s="14"/>
      <c r="E22" s="14"/>
      <c r="F22" s="14"/>
      <c r="G22" s="14"/>
      <c r="H22" s="14"/>
      <c r="I22" s="14"/>
      <c r="J22" s="14"/>
      <c r="K22" s="14"/>
      <c r="L22" s="14"/>
      <c r="M22" s="14"/>
      <c r="N22" s="14"/>
      <c r="O22" s="14"/>
      <c r="P22" s="14"/>
      <c r="Q22" s="14"/>
      <c r="R22" s="14"/>
      <c r="S22" s="14"/>
      <c r="T22" s="14"/>
      <c r="U22" s="14"/>
      <c r="V22" s="14"/>
      <c r="W22" s="14"/>
      <c r="X22" s="14"/>
      <c r="Y22" s="14"/>
      <c r="Z22" s="14"/>
      <c r="AA22" s="14"/>
      <c r="AB22" s="14"/>
      <c r="AC22" s="14"/>
      <c r="AD22" s="14"/>
    </row>
    <row r="23" spans="1:30" s="15" customFormat="1">
      <c r="A23" s="14"/>
      <c r="B23" s="14"/>
      <c r="C23" s="14"/>
      <c r="D23" s="14"/>
      <c r="E23" s="14"/>
      <c r="F23" s="14"/>
      <c r="G23" s="14"/>
      <c r="H23" s="14"/>
      <c r="I23" s="14"/>
      <c r="J23" s="14"/>
      <c r="K23" s="14"/>
      <c r="L23" s="14"/>
      <c r="M23" s="14"/>
      <c r="N23" s="14"/>
      <c r="O23" s="14"/>
      <c r="P23" s="14"/>
      <c r="Q23" s="14"/>
      <c r="R23" s="14"/>
      <c r="S23" s="14"/>
      <c r="T23" s="14"/>
      <c r="U23" s="14"/>
      <c r="V23" s="14"/>
      <c r="W23" s="14"/>
      <c r="X23" s="14"/>
      <c r="Y23" s="14"/>
      <c r="Z23" s="14"/>
      <c r="AA23" s="14"/>
      <c r="AB23" s="14"/>
      <c r="AC23" s="14"/>
      <c r="AD23" s="14"/>
    </row>
    <row r="24" spans="1:30" s="15" customFormat="1">
      <c r="A24" s="14"/>
      <c r="B24" s="14"/>
      <c r="C24" s="14"/>
      <c r="D24" s="14"/>
      <c r="E24" s="14"/>
      <c r="F24" s="14"/>
      <c r="G24" s="14"/>
      <c r="H24" s="14"/>
      <c r="I24" s="14"/>
      <c r="J24" s="14"/>
      <c r="K24" s="14"/>
      <c r="L24" s="14"/>
      <c r="M24" s="14"/>
      <c r="N24" s="14"/>
      <c r="O24" s="14"/>
      <c r="P24" s="14"/>
      <c r="Q24" s="14"/>
      <c r="R24" s="14"/>
      <c r="S24" s="14"/>
      <c r="T24" s="14"/>
      <c r="U24" s="14"/>
      <c r="V24" s="14"/>
      <c r="W24" s="14"/>
      <c r="X24" s="14"/>
      <c r="Y24" s="14"/>
      <c r="Z24" s="14"/>
      <c r="AA24" s="14"/>
      <c r="AB24" s="14"/>
      <c r="AC24" s="14"/>
      <c r="AD24" s="14"/>
    </row>
    <row r="25" spans="1:30" s="15" customFormat="1">
      <c r="A25" s="14"/>
      <c r="B25" s="14"/>
      <c r="C25" s="14"/>
      <c r="D25" s="14"/>
      <c r="E25" s="14"/>
      <c r="F25" s="14"/>
      <c r="G25" s="14"/>
      <c r="H25" s="14"/>
      <c r="I25" s="14"/>
      <c r="J25" s="14"/>
      <c r="K25" s="14"/>
      <c r="L25" s="14"/>
      <c r="M25" s="14"/>
      <c r="N25" s="14"/>
      <c r="O25" s="14"/>
      <c r="P25" s="14"/>
      <c r="Q25" s="14"/>
      <c r="R25" s="14"/>
      <c r="S25" s="14"/>
      <c r="T25" s="14"/>
      <c r="U25" s="14"/>
      <c r="V25" s="14"/>
      <c r="W25" s="14"/>
      <c r="X25" s="14"/>
      <c r="Y25" s="14"/>
      <c r="Z25" s="14"/>
      <c r="AA25" s="14"/>
      <c r="AB25" s="14"/>
      <c r="AC25" s="14"/>
      <c r="AD25" s="14"/>
    </row>
    <row r="26" spans="1:30" s="15" customFormat="1">
      <c r="A26" s="14"/>
      <c r="B26" s="14"/>
      <c r="C26" s="14"/>
      <c r="D26" s="14"/>
      <c r="E26" s="14"/>
      <c r="F26" s="14"/>
      <c r="G26" s="14"/>
      <c r="H26" s="14"/>
      <c r="I26" s="14"/>
      <c r="J26" s="14"/>
      <c r="K26" s="14"/>
      <c r="L26" s="14"/>
      <c r="M26" s="14"/>
      <c r="N26" s="14"/>
      <c r="O26" s="14"/>
      <c r="P26" s="14"/>
      <c r="Q26" s="14"/>
      <c r="R26" s="14"/>
      <c r="S26" s="14"/>
      <c r="T26" s="14"/>
      <c r="U26" s="14"/>
      <c r="V26" s="14"/>
      <c r="W26" s="14"/>
      <c r="X26" s="14"/>
      <c r="Y26" s="14"/>
      <c r="Z26" s="14"/>
      <c r="AA26" s="14"/>
      <c r="AB26" s="14"/>
      <c r="AC26" s="14"/>
      <c r="AD26" s="14"/>
    </row>
    <row r="27" spans="1:30" s="15" customFormat="1">
      <c r="A27" s="14"/>
      <c r="B27" s="14"/>
      <c r="C27" s="14"/>
      <c r="D27" s="14"/>
      <c r="E27" s="14"/>
      <c r="F27" s="14"/>
      <c r="G27" s="14"/>
      <c r="H27" s="14"/>
      <c r="I27" s="14"/>
      <c r="J27" s="14"/>
      <c r="K27" s="14"/>
      <c r="L27" s="14"/>
      <c r="M27" s="14"/>
      <c r="N27" s="14"/>
      <c r="O27" s="14"/>
      <c r="P27" s="14"/>
      <c r="Q27" s="14"/>
      <c r="R27" s="14"/>
      <c r="S27" s="14"/>
      <c r="T27" s="14"/>
      <c r="U27" s="14"/>
      <c r="V27" s="14"/>
      <c r="W27" s="14"/>
      <c r="X27" s="14"/>
      <c r="Y27" s="14"/>
      <c r="Z27" s="14"/>
      <c r="AA27" s="14"/>
      <c r="AB27" s="14"/>
      <c r="AC27" s="14"/>
      <c r="AD27" s="14"/>
    </row>
    <row r="28" spans="1:30" s="15" customFormat="1">
      <c r="A28" s="14"/>
      <c r="B28" s="14"/>
      <c r="C28" s="14"/>
      <c r="D28" s="14"/>
      <c r="E28" s="14"/>
      <c r="F28" s="14"/>
      <c r="G28" s="14"/>
      <c r="H28" s="14"/>
      <c r="I28" s="14"/>
      <c r="J28" s="14"/>
      <c r="K28" s="14"/>
      <c r="L28" s="14"/>
      <c r="M28" s="14"/>
      <c r="N28" s="14"/>
      <c r="O28" s="14"/>
      <c r="P28" s="14"/>
      <c r="Q28" s="14"/>
      <c r="R28" s="14"/>
      <c r="S28" s="14"/>
      <c r="T28" s="14"/>
      <c r="U28" s="14"/>
      <c r="V28" s="14"/>
      <c r="W28" s="14"/>
      <c r="X28" s="14"/>
      <c r="Y28" s="14"/>
      <c r="Z28" s="14"/>
      <c r="AA28" s="14"/>
      <c r="AB28" s="14"/>
      <c r="AC28" s="14"/>
      <c r="AD28" s="14"/>
    </row>
    <row r="29" spans="1:30" s="15" customFormat="1">
      <c r="A29" s="14"/>
      <c r="B29" s="14"/>
      <c r="C29" s="14"/>
      <c r="D29" s="14"/>
      <c r="E29" s="14"/>
      <c r="F29" s="14"/>
      <c r="G29" s="14"/>
      <c r="H29" s="14"/>
      <c r="I29" s="14"/>
      <c r="J29" s="14"/>
      <c r="K29" s="14"/>
      <c r="L29" s="14"/>
      <c r="M29" s="14"/>
      <c r="N29" s="14"/>
      <c r="O29" s="14"/>
      <c r="P29" s="14"/>
      <c r="Q29" s="14"/>
      <c r="R29" s="14"/>
      <c r="S29" s="14"/>
      <c r="T29" s="14"/>
      <c r="U29" s="14"/>
      <c r="V29" s="14"/>
      <c r="W29" s="14"/>
      <c r="X29" s="14"/>
      <c r="Y29" s="14"/>
      <c r="Z29" s="14"/>
      <c r="AA29" s="14"/>
      <c r="AB29" s="14"/>
      <c r="AC29" s="14"/>
      <c r="AD29" s="14"/>
    </row>
    <row r="30" spans="1:30" s="15" customFormat="1">
      <c r="A30" s="14"/>
      <c r="B30" s="14"/>
      <c r="C30" s="14"/>
      <c r="D30" s="14"/>
      <c r="E30" s="14"/>
      <c r="F30" s="14"/>
      <c r="G30" s="14"/>
      <c r="H30" s="14"/>
      <c r="I30" s="14"/>
      <c r="J30" s="14"/>
      <c r="K30" s="14"/>
      <c r="L30" s="14"/>
      <c r="M30" s="14"/>
      <c r="N30" s="14"/>
      <c r="O30" s="14"/>
      <c r="P30" s="14"/>
      <c r="Q30" s="14"/>
      <c r="R30" s="14"/>
      <c r="S30" s="14"/>
      <c r="T30" s="14"/>
      <c r="U30" s="14"/>
      <c r="V30" s="14"/>
      <c r="W30" s="14"/>
      <c r="X30" s="14"/>
      <c r="Y30" s="14"/>
      <c r="Z30" s="14"/>
      <c r="AA30" s="14"/>
      <c r="AB30" s="14"/>
      <c r="AC30" s="14"/>
      <c r="AD30" s="14"/>
    </row>
    <row r="31" spans="1:30" s="15" customFormat="1">
      <c r="A31" s="14"/>
      <c r="B31" s="14"/>
      <c r="C31" s="14"/>
      <c r="D31" s="14"/>
      <c r="E31" s="14"/>
      <c r="F31" s="14"/>
      <c r="G31" s="14"/>
      <c r="H31" s="14"/>
      <c r="I31" s="14"/>
      <c r="J31" s="14"/>
      <c r="K31" s="14"/>
      <c r="L31" s="14"/>
      <c r="M31" s="14"/>
      <c r="N31" s="14"/>
      <c r="O31" s="14"/>
      <c r="P31" s="14"/>
      <c r="Q31" s="14"/>
      <c r="R31" s="14"/>
      <c r="S31" s="14"/>
      <c r="T31" s="14"/>
      <c r="U31" s="14"/>
      <c r="V31" s="14"/>
      <c r="W31" s="14"/>
      <c r="X31" s="14"/>
      <c r="Y31" s="14"/>
      <c r="Z31" s="14"/>
      <c r="AA31" s="14"/>
      <c r="AB31" s="14"/>
      <c r="AC31" s="14"/>
      <c r="AD31" s="14"/>
    </row>
    <row r="32" spans="1:30" s="15" customFormat="1">
      <c r="A32" s="14"/>
      <c r="B32" s="14"/>
      <c r="C32" s="14"/>
      <c r="D32" s="14"/>
      <c r="E32" s="14"/>
      <c r="F32" s="14"/>
      <c r="G32" s="14"/>
      <c r="H32" s="14"/>
      <c r="I32" s="14"/>
      <c r="J32" s="14"/>
      <c r="K32" s="14"/>
      <c r="L32" s="14"/>
      <c r="M32" s="14"/>
      <c r="N32" s="14"/>
      <c r="O32" s="14"/>
      <c r="P32" s="14"/>
      <c r="Q32" s="14"/>
      <c r="R32" s="14"/>
      <c r="S32" s="14"/>
      <c r="T32" s="14"/>
      <c r="U32" s="14"/>
      <c r="V32" s="14"/>
      <c r="W32" s="14"/>
      <c r="X32" s="14"/>
      <c r="Y32" s="14"/>
      <c r="Z32" s="14"/>
      <c r="AA32" s="14"/>
      <c r="AB32" s="14"/>
      <c r="AC32" s="14"/>
      <c r="AD32" s="14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F82FBF6-AE0D-46CE-BAF7-9DB0BB6D6950}">
  <dimension ref="A1:AQ20"/>
  <sheetViews>
    <sheetView tabSelected="1" topLeftCell="A11" zoomScale="190" zoomScaleNormal="190" workbookViewId="0">
      <selection activeCell="H14" sqref="H14"/>
    </sheetView>
  </sheetViews>
  <sheetFormatPr defaultRowHeight="15"/>
  <cols>
    <col min="1" max="1" width="12.42578125" customWidth="1"/>
    <col min="2" max="2" width="14.28515625" customWidth="1"/>
    <col min="3" max="3" width="7.85546875" customWidth="1"/>
    <col min="4" max="4" width="9.28515625" customWidth="1"/>
    <col min="5" max="6" width="14.28515625" customWidth="1"/>
    <col min="7" max="7" width="25.5703125" customWidth="1"/>
    <col min="8" max="8" width="25.5703125" style="43" customWidth="1"/>
    <col min="9" max="11" width="20.7109375" style="17" customWidth="1"/>
    <col min="12" max="16" width="9.140625" style="6"/>
    <col min="17" max="17" width="9.140625" style="6" customWidth="1"/>
    <col min="18" max="18" width="9.140625" style="6"/>
    <col min="19" max="43" width="9.140625" style="5"/>
  </cols>
  <sheetData>
    <row r="1" spans="1:18">
      <c r="A1" s="7" t="s">
        <v>0</v>
      </c>
      <c r="B1" s="8" t="s">
        <v>5</v>
      </c>
      <c r="C1" s="9" t="s">
        <v>9</v>
      </c>
      <c r="D1" s="9" t="s">
        <v>1</v>
      </c>
      <c r="E1" s="10" t="s">
        <v>11</v>
      </c>
      <c r="F1" s="11" t="s">
        <v>13</v>
      </c>
      <c r="G1" s="11" t="s">
        <v>12</v>
      </c>
      <c r="H1" s="38" t="s">
        <v>62</v>
      </c>
      <c r="I1" s="16" t="s">
        <v>7</v>
      </c>
      <c r="J1" s="16" t="s">
        <v>64</v>
      </c>
      <c r="K1" s="16" t="s">
        <v>110</v>
      </c>
      <c r="M1" s="6">
        <v>1231</v>
      </c>
      <c r="N1" s="6">
        <f>M1+1</f>
        <v>1232</v>
      </c>
      <c r="O1" s="6">
        <v>1231</v>
      </c>
      <c r="P1" s="6">
        <v>1235</v>
      </c>
      <c r="Q1" s="6">
        <v>1261</v>
      </c>
      <c r="R1" s="6">
        <f>Q1+1</f>
        <v>1262</v>
      </c>
    </row>
    <row r="2" spans="1:18">
      <c r="A2" s="23">
        <v>46070</v>
      </c>
      <c r="B2" s="24" t="str">
        <f>TEXT(A2,"dddd")</f>
        <v>Tuesday</v>
      </c>
      <c r="C2" s="25">
        <v>1</v>
      </c>
      <c r="D2" s="26">
        <v>160</v>
      </c>
      <c r="E2" s="27">
        <v>90</v>
      </c>
      <c r="F2" s="22">
        <v>160</v>
      </c>
      <c r="G2" s="22"/>
      <c r="H2" s="39"/>
      <c r="I2" s="28"/>
      <c r="J2" s="29"/>
      <c r="K2" s="28"/>
      <c r="M2" s="6">
        <f>M1+2</f>
        <v>1233</v>
      </c>
      <c r="N2" s="6">
        <f t="shared" ref="N2:N14" si="0">M2+1</f>
        <v>1234</v>
      </c>
      <c r="O2" s="6">
        <f>O1+5</f>
        <v>1236</v>
      </c>
      <c r="P2" s="6">
        <f>P1+5</f>
        <v>1240</v>
      </c>
      <c r="Q2" s="6">
        <f>Q1+2</f>
        <v>1263</v>
      </c>
      <c r="R2" s="6">
        <f t="shared" ref="R2:R14" si="1">Q2+1</f>
        <v>1264</v>
      </c>
    </row>
    <row r="3" spans="1:18">
      <c r="A3" s="23">
        <v>46071</v>
      </c>
      <c r="B3" s="24" t="str">
        <f t="shared" ref="B3:B16" si="2">TEXT(A3,"dddd")</f>
        <v>Wednesday</v>
      </c>
      <c r="C3" s="30">
        <v>2</v>
      </c>
      <c r="D3" s="31">
        <v>350</v>
      </c>
      <c r="E3" s="27">
        <v>150</v>
      </c>
      <c r="F3" s="22">
        <f>D3-D2</f>
        <v>190</v>
      </c>
      <c r="G3" s="22"/>
      <c r="H3" s="39"/>
      <c r="I3" s="28"/>
      <c r="J3" s="29"/>
      <c r="K3" s="28"/>
      <c r="M3" s="6">
        <f t="shared" ref="M3:M15" si="3">M2+2</f>
        <v>1235</v>
      </c>
      <c r="N3" s="6">
        <f t="shared" si="0"/>
        <v>1236</v>
      </c>
      <c r="O3" s="6">
        <f t="shared" ref="O3:O15" si="4">O2+5</f>
        <v>1241</v>
      </c>
      <c r="P3" s="6">
        <f t="shared" ref="P3:P15" si="5">P2+5</f>
        <v>1245</v>
      </c>
      <c r="Q3" s="6">
        <f t="shared" ref="Q3:Q15" si="6">Q2+2</f>
        <v>1265</v>
      </c>
      <c r="R3" s="6">
        <f t="shared" si="1"/>
        <v>1266</v>
      </c>
    </row>
    <row r="4" spans="1:18">
      <c r="A4" s="23">
        <v>46072</v>
      </c>
      <c r="B4" s="24" t="str">
        <f t="shared" si="2"/>
        <v>Thursday</v>
      </c>
      <c r="C4" s="25">
        <v>3</v>
      </c>
      <c r="D4" s="26">
        <v>440</v>
      </c>
      <c r="E4" s="27">
        <v>72</v>
      </c>
      <c r="F4" s="22">
        <f t="shared" ref="F4:F16" si="7">D4-D3</f>
        <v>90</v>
      </c>
      <c r="G4" s="22"/>
      <c r="H4" s="39"/>
      <c r="I4" s="28"/>
      <c r="J4" s="29"/>
      <c r="K4" s="28"/>
      <c r="M4" s="6">
        <f t="shared" si="3"/>
        <v>1237</v>
      </c>
      <c r="N4" s="6">
        <f t="shared" si="0"/>
        <v>1238</v>
      </c>
      <c r="O4" s="6">
        <f t="shared" si="4"/>
        <v>1246</v>
      </c>
      <c r="P4" s="6">
        <f t="shared" si="5"/>
        <v>1250</v>
      </c>
      <c r="Q4" s="6">
        <f t="shared" si="6"/>
        <v>1267</v>
      </c>
      <c r="R4" s="6">
        <f t="shared" si="1"/>
        <v>1268</v>
      </c>
    </row>
    <row r="5" spans="1:18">
      <c r="A5" s="23">
        <v>46073</v>
      </c>
      <c r="B5" s="24" t="str">
        <f t="shared" si="2"/>
        <v>Friday</v>
      </c>
      <c r="C5" s="30">
        <v>4</v>
      </c>
      <c r="D5" s="31">
        <v>550</v>
      </c>
      <c r="E5" s="27">
        <v>120</v>
      </c>
      <c r="F5" s="22">
        <f t="shared" si="7"/>
        <v>110</v>
      </c>
      <c r="G5" s="22"/>
      <c r="H5" s="39"/>
      <c r="I5" s="28"/>
      <c r="J5" s="29"/>
      <c r="K5" s="28"/>
      <c r="M5" s="6">
        <f t="shared" si="3"/>
        <v>1239</v>
      </c>
      <c r="N5" s="6">
        <f t="shared" si="0"/>
        <v>1240</v>
      </c>
      <c r="O5" s="6">
        <f t="shared" si="4"/>
        <v>1251</v>
      </c>
      <c r="P5" s="6">
        <f t="shared" si="5"/>
        <v>1255</v>
      </c>
      <c r="Q5" s="6">
        <f t="shared" si="6"/>
        <v>1269</v>
      </c>
      <c r="R5" s="6">
        <f t="shared" si="1"/>
        <v>1270</v>
      </c>
    </row>
    <row r="6" spans="1:18">
      <c r="A6" s="23">
        <v>46074</v>
      </c>
      <c r="B6" s="24" t="str">
        <f t="shared" si="2"/>
        <v>Saturday</v>
      </c>
      <c r="C6" s="25">
        <v>5</v>
      </c>
      <c r="D6" s="26">
        <v>700</v>
      </c>
      <c r="E6" s="27">
        <v>156</v>
      </c>
      <c r="F6" s="22">
        <f t="shared" si="7"/>
        <v>150</v>
      </c>
      <c r="G6" s="22"/>
      <c r="H6" s="39"/>
      <c r="I6" s="28"/>
      <c r="J6" s="29"/>
      <c r="K6" s="28"/>
      <c r="M6" s="6">
        <f t="shared" si="3"/>
        <v>1241</v>
      </c>
      <c r="N6" s="6">
        <f t="shared" si="0"/>
        <v>1242</v>
      </c>
      <c r="O6" s="6">
        <f t="shared" si="4"/>
        <v>1256</v>
      </c>
      <c r="P6" s="6">
        <f t="shared" si="5"/>
        <v>1260</v>
      </c>
      <c r="Q6" s="6">
        <f t="shared" si="6"/>
        <v>1271</v>
      </c>
      <c r="R6" s="6">
        <f t="shared" si="1"/>
        <v>1272</v>
      </c>
    </row>
    <row r="7" spans="1:18">
      <c r="A7" s="23">
        <v>46075</v>
      </c>
      <c r="B7" s="24" t="str">
        <f t="shared" si="2"/>
        <v>Sunday</v>
      </c>
      <c r="C7" s="30">
        <v>6</v>
      </c>
      <c r="D7" s="31">
        <v>765</v>
      </c>
      <c r="E7" s="27">
        <v>120</v>
      </c>
      <c r="F7" s="22">
        <f t="shared" si="7"/>
        <v>65</v>
      </c>
      <c r="G7" s="22"/>
      <c r="H7" s="40" t="s">
        <v>10</v>
      </c>
      <c r="I7" s="28"/>
      <c r="J7" s="29"/>
      <c r="K7" s="28"/>
      <c r="M7" s="6">
        <f t="shared" si="3"/>
        <v>1243</v>
      </c>
      <c r="N7" s="6">
        <f t="shared" si="0"/>
        <v>1244</v>
      </c>
      <c r="O7" s="6">
        <f t="shared" si="4"/>
        <v>1261</v>
      </c>
      <c r="P7" s="6">
        <f t="shared" si="5"/>
        <v>1265</v>
      </c>
      <c r="Q7" s="6">
        <f t="shared" si="6"/>
        <v>1273</v>
      </c>
      <c r="R7" s="6">
        <f t="shared" si="1"/>
        <v>1274</v>
      </c>
    </row>
    <row r="8" spans="1:18">
      <c r="A8" s="23">
        <v>46076</v>
      </c>
      <c r="B8" s="24" t="str">
        <f t="shared" si="2"/>
        <v>Monday</v>
      </c>
      <c r="C8" s="25">
        <v>7</v>
      </c>
      <c r="D8" s="26">
        <v>900</v>
      </c>
      <c r="E8" s="27">
        <v>140</v>
      </c>
      <c r="F8" s="22">
        <f t="shared" si="7"/>
        <v>135</v>
      </c>
      <c r="G8" s="22"/>
      <c r="H8" s="41"/>
      <c r="I8" s="32"/>
      <c r="J8" s="29"/>
      <c r="K8" s="28"/>
      <c r="M8" s="6">
        <f t="shared" si="3"/>
        <v>1245</v>
      </c>
      <c r="N8" s="6">
        <f t="shared" si="0"/>
        <v>1246</v>
      </c>
      <c r="O8" s="6">
        <f t="shared" si="4"/>
        <v>1266</v>
      </c>
      <c r="P8" s="6">
        <f t="shared" si="5"/>
        <v>1270</v>
      </c>
      <c r="Q8" s="6">
        <f t="shared" si="6"/>
        <v>1275</v>
      </c>
      <c r="R8" s="6">
        <f t="shared" si="1"/>
        <v>1276</v>
      </c>
    </row>
    <row r="9" spans="1:18" ht="31.5" customHeight="1">
      <c r="A9" s="23">
        <v>46077</v>
      </c>
      <c r="B9" s="24" t="str">
        <f t="shared" si="2"/>
        <v>Tuesday</v>
      </c>
      <c r="C9" s="30">
        <v>8</v>
      </c>
      <c r="D9" s="31">
        <v>940</v>
      </c>
      <c r="E9" s="27">
        <v>38</v>
      </c>
      <c r="F9" s="22">
        <f t="shared" si="7"/>
        <v>40</v>
      </c>
      <c r="G9" s="22"/>
      <c r="H9" s="42" t="s">
        <v>14</v>
      </c>
      <c r="I9" s="19"/>
      <c r="J9" s="29"/>
      <c r="K9" s="28"/>
      <c r="M9" s="6">
        <f t="shared" si="3"/>
        <v>1247</v>
      </c>
      <c r="N9" s="6">
        <f t="shared" si="0"/>
        <v>1248</v>
      </c>
      <c r="O9" s="6">
        <f t="shared" si="4"/>
        <v>1271</v>
      </c>
      <c r="P9" s="6">
        <f t="shared" si="5"/>
        <v>1275</v>
      </c>
      <c r="Q9" s="6">
        <f t="shared" si="6"/>
        <v>1277</v>
      </c>
      <c r="R9" s="6">
        <f t="shared" si="1"/>
        <v>1278</v>
      </c>
    </row>
    <row r="10" spans="1:18">
      <c r="A10" s="23">
        <v>46078</v>
      </c>
      <c r="B10" s="24" t="str">
        <f t="shared" si="2"/>
        <v>Wednesday</v>
      </c>
      <c r="C10" s="25">
        <v>9</v>
      </c>
      <c r="D10" s="26">
        <v>1045</v>
      </c>
      <c r="E10" s="27">
        <f>112+38</f>
        <v>150</v>
      </c>
      <c r="F10" s="22">
        <f t="shared" si="7"/>
        <v>105</v>
      </c>
      <c r="G10" s="22"/>
      <c r="H10" s="39"/>
      <c r="I10" s="28"/>
      <c r="J10" s="29"/>
      <c r="K10" s="28"/>
      <c r="M10" s="6">
        <f t="shared" si="3"/>
        <v>1249</v>
      </c>
      <c r="N10" s="6">
        <f t="shared" si="0"/>
        <v>1250</v>
      </c>
      <c r="O10" s="6">
        <f t="shared" si="4"/>
        <v>1276</v>
      </c>
      <c r="P10" s="6">
        <f t="shared" si="5"/>
        <v>1280</v>
      </c>
      <c r="Q10" s="6">
        <f t="shared" si="6"/>
        <v>1279</v>
      </c>
      <c r="R10" s="6">
        <f t="shared" si="1"/>
        <v>1280</v>
      </c>
    </row>
    <row r="11" spans="1:18">
      <c r="A11" s="23">
        <v>46079</v>
      </c>
      <c r="B11" s="24" t="str">
        <f t="shared" si="2"/>
        <v>Thursday</v>
      </c>
      <c r="C11" s="30">
        <v>10</v>
      </c>
      <c r="D11" s="31">
        <v>1250</v>
      </c>
      <c r="E11" s="27">
        <f>36.8+164</f>
        <v>200.8</v>
      </c>
      <c r="F11" s="22">
        <f t="shared" si="7"/>
        <v>205</v>
      </c>
      <c r="G11" s="22"/>
      <c r="H11" s="39"/>
      <c r="I11" s="28"/>
      <c r="J11" s="29"/>
      <c r="K11" s="28"/>
      <c r="M11" s="6">
        <f t="shared" si="3"/>
        <v>1251</v>
      </c>
      <c r="N11" s="6">
        <f t="shared" si="0"/>
        <v>1252</v>
      </c>
      <c r="O11" s="6">
        <f t="shared" si="4"/>
        <v>1281</v>
      </c>
      <c r="P11" s="6">
        <f t="shared" si="5"/>
        <v>1285</v>
      </c>
      <c r="Q11" s="6">
        <f t="shared" si="6"/>
        <v>1281</v>
      </c>
      <c r="R11" s="6">
        <f t="shared" si="1"/>
        <v>1282</v>
      </c>
    </row>
    <row r="12" spans="1:18">
      <c r="A12" s="23">
        <v>46080</v>
      </c>
      <c r="B12" s="24" t="str">
        <f t="shared" si="2"/>
        <v>Friday</v>
      </c>
      <c r="C12" s="25">
        <v>11</v>
      </c>
      <c r="D12" s="26">
        <v>1350</v>
      </c>
      <c r="E12" s="27">
        <f>13+180+7</f>
        <v>200</v>
      </c>
      <c r="F12" s="22">
        <f t="shared" si="7"/>
        <v>100</v>
      </c>
      <c r="G12" s="22"/>
      <c r="H12" s="39"/>
      <c r="I12" s="28"/>
      <c r="J12" s="29"/>
      <c r="K12" s="28"/>
      <c r="M12" s="6">
        <f t="shared" si="3"/>
        <v>1253</v>
      </c>
      <c r="N12" s="6">
        <f t="shared" si="0"/>
        <v>1254</v>
      </c>
      <c r="O12" s="6">
        <f t="shared" si="4"/>
        <v>1286</v>
      </c>
      <c r="P12" s="6">
        <f t="shared" si="5"/>
        <v>1290</v>
      </c>
      <c r="Q12" s="6">
        <f t="shared" si="6"/>
        <v>1283</v>
      </c>
      <c r="R12" s="6">
        <f t="shared" si="1"/>
        <v>1284</v>
      </c>
    </row>
    <row r="13" spans="1:18" ht="27">
      <c r="A13" s="23">
        <v>46081</v>
      </c>
      <c r="B13" s="24" t="str">
        <f t="shared" si="2"/>
        <v>Saturday</v>
      </c>
      <c r="C13" s="30">
        <v>12</v>
      </c>
      <c r="D13" s="31">
        <v>1362</v>
      </c>
      <c r="E13" s="27">
        <v>27</v>
      </c>
      <c r="F13" s="22">
        <f t="shared" si="7"/>
        <v>12</v>
      </c>
      <c r="G13" s="22"/>
      <c r="H13" s="39" t="s">
        <v>109</v>
      </c>
      <c r="I13" s="28"/>
      <c r="J13" s="29"/>
      <c r="K13" s="28"/>
      <c r="M13" s="6">
        <f t="shared" si="3"/>
        <v>1255</v>
      </c>
      <c r="N13" s="6">
        <f t="shared" si="0"/>
        <v>1256</v>
      </c>
      <c r="O13" s="6">
        <f t="shared" si="4"/>
        <v>1291</v>
      </c>
      <c r="P13" s="6">
        <f t="shared" si="5"/>
        <v>1295</v>
      </c>
      <c r="Q13" s="6">
        <f t="shared" si="6"/>
        <v>1285</v>
      </c>
      <c r="R13" s="6">
        <f t="shared" si="1"/>
        <v>1286</v>
      </c>
    </row>
    <row r="14" spans="1:18">
      <c r="A14" s="23">
        <v>46082</v>
      </c>
      <c r="B14" s="24" t="str">
        <f t="shared" si="2"/>
        <v>Sunday</v>
      </c>
      <c r="C14" s="25">
        <v>13</v>
      </c>
      <c r="D14" s="26">
        <v>1364</v>
      </c>
      <c r="E14" s="27">
        <v>1</v>
      </c>
      <c r="F14" s="22">
        <f t="shared" si="7"/>
        <v>2</v>
      </c>
      <c r="G14" s="22"/>
      <c r="H14" s="39"/>
      <c r="I14" s="28"/>
      <c r="J14" s="29"/>
      <c r="K14" s="28"/>
      <c r="M14" s="6">
        <f t="shared" si="3"/>
        <v>1257</v>
      </c>
      <c r="N14" s="6">
        <f t="shared" si="0"/>
        <v>1258</v>
      </c>
      <c r="O14" s="6">
        <f t="shared" si="4"/>
        <v>1296</v>
      </c>
      <c r="P14" s="6">
        <f t="shared" si="5"/>
        <v>1300</v>
      </c>
      <c r="Q14" s="6">
        <f t="shared" si="6"/>
        <v>1287</v>
      </c>
      <c r="R14" s="6">
        <f t="shared" si="1"/>
        <v>1288</v>
      </c>
    </row>
    <row r="15" spans="1:18">
      <c r="A15" s="23">
        <v>46083</v>
      </c>
      <c r="B15" s="24" t="str">
        <f t="shared" si="2"/>
        <v>Monday</v>
      </c>
      <c r="C15" s="30">
        <v>14</v>
      </c>
      <c r="D15" s="31">
        <v>1400</v>
      </c>
      <c r="E15" s="27">
        <v>39</v>
      </c>
      <c r="F15" s="22">
        <f t="shared" si="7"/>
        <v>36</v>
      </c>
      <c r="G15" s="22"/>
      <c r="H15" s="39" t="s">
        <v>112</v>
      </c>
      <c r="I15" s="28"/>
      <c r="J15" s="29"/>
      <c r="K15" s="28"/>
      <c r="M15" s="6">
        <f t="shared" si="3"/>
        <v>1259</v>
      </c>
      <c r="O15" s="6">
        <f t="shared" si="4"/>
        <v>1301</v>
      </c>
      <c r="P15" s="6">
        <f t="shared" si="5"/>
        <v>1305</v>
      </c>
      <c r="Q15" s="6">
        <f t="shared" si="6"/>
        <v>1289</v>
      </c>
    </row>
    <row r="16" spans="1:18">
      <c r="A16" s="23">
        <v>46084</v>
      </c>
      <c r="B16" s="24" t="str">
        <f t="shared" si="2"/>
        <v>Tuesday</v>
      </c>
      <c r="C16" s="33">
        <v>15</v>
      </c>
      <c r="D16" s="34">
        <v>1422</v>
      </c>
      <c r="E16" s="35">
        <v>46</v>
      </c>
      <c r="F16" s="22">
        <f t="shared" si="7"/>
        <v>22</v>
      </c>
      <c r="G16" s="22"/>
      <c r="H16" s="39"/>
      <c r="I16" s="28"/>
      <c r="J16" s="29"/>
      <c r="K16" s="28"/>
    </row>
    <row r="17" spans="1:11">
      <c r="A17" s="23">
        <v>46085</v>
      </c>
      <c r="B17" s="24" t="str">
        <f t="shared" ref="B17:B20" si="8">TEXT(A17,"dddd")</f>
        <v>Wednesday</v>
      </c>
      <c r="C17" s="33">
        <v>16</v>
      </c>
      <c r="D17" s="34"/>
      <c r="E17" s="35"/>
      <c r="F17" s="22">
        <f t="shared" ref="F17:F20" si="9">D17-D16</f>
        <v>-1422</v>
      </c>
      <c r="G17" s="22"/>
      <c r="H17" s="39" t="s">
        <v>111</v>
      </c>
      <c r="I17" s="36"/>
      <c r="J17" s="37"/>
      <c r="K17" s="36"/>
    </row>
    <row r="18" spans="1:11">
      <c r="A18" s="23">
        <v>46086</v>
      </c>
      <c r="B18" s="24" t="str">
        <f t="shared" si="8"/>
        <v>Thursday</v>
      </c>
      <c r="C18" s="33">
        <v>17</v>
      </c>
      <c r="D18" s="34"/>
      <c r="E18" s="35"/>
      <c r="F18" s="22">
        <f t="shared" si="9"/>
        <v>0</v>
      </c>
      <c r="G18" s="22"/>
      <c r="H18" s="39"/>
      <c r="I18" s="36"/>
      <c r="J18" s="37"/>
      <c r="K18" s="36"/>
    </row>
    <row r="19" spans="1:11">
      <c r="A19" s="23">
        <v>46087</v>
      </c>
      <c r="B19" s="24" t="str">
        <f t="shared" si="8"/>
        <v>Friday</v>
      </c>
      <c r="C19" s="33">
        <v>18</v>
      </c>
      <c r="D19" s="34"/>
      <c r="E19" s="35"/>
      <c r="F19" s="22">
        <f t="shared" si="9"/>
        <v>0</v>
      </c>
      <c r="G19" s="22"/>
      <c r="H19" s="39"/>
      <c r="I19" s="36"/>
      <c r="J19" s="37"/>
      <c r="K19" s="36"/>
    </row>
    <row r="20" spans="1:11">
      <c r="A20" s="23">
        <v>46088</v>
      </c>
      <c r="B20" s="24" t="str">
        <f t="shared" si="8"/>
        <v>Saturday</v>
      </c>
      <c r="C20" s="33">
        <v>19</v>
      </c>
      <c r="D20" s="34"/>
      <c r="E20" s="35"/>
      <c r="F20" s="22">
        <f t="shared" si="9"/>
        <v>0</v>
      </c>
      <c r="G20" s="22"/>
      <c r="H20" s="39"/>
      <c r="I20" s="36"/>
      <c r="J20" s="37"/>
      <c r="K20" s="36"/>
    </row>
  </sheetData>
  <phoneticPr fontId="3" type="noConversion"/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054E6-0955-486B-B933-95D8F3FB77DF}">
  <dimension ref="A1:D13"/>
  <sheetViews>
    <sheetView zoomScale="85" zoomScaleNormal="85" workbookViewId="0">
      <selection activeCell="E3" sqref="E3"/>
    </sheetView>
  </sheetViews>
  <sheetFormatPr defaultRowHeight="15"/>
  <cols>
    <col min="1" max="1" width="16" customWidth="1"/>
    <col min="2" max="2" width="20.42578125" customWidth="1"/>
    <col min="3" max="3" width="16" customWidth="1"/>
    <col min="4" max="4" width="51.42578125" customWidth="1"/>
  </cols>
  <sheetData>
    <row r="1" spans="1:4" ht="26.25" customHeight="1" thickBot="1">
      <c r="A1" s="12" t="s">
        <v>67</v>
      </c>
      <c r="B1" s="12" t="s">
        <v>68</v>
      </c>
      <c r="C1" s="12" t="s">
        <v>69</v>
      </c>
      <c r="D1" s="12" t="s">
        <v>70</v>
      </c>
    </row>
    <row r="2" spans="1:4" ht="26.25" customHeight="1" thickBot="1">
      <c r="A2" s="12" t="s">
        <v>71</v>
      </c>
      <c r="B2" s="21" t="s">
        <v>72</v>
      </c>
      <c r="C2" s="13" t="s">
        <v>73</v>
      </c>
      <c r="D2" s="13" t="s">
        <v>74</v>
      </c>
    </row>
    <row r="3" spans="1:4" ht="26.25" customHeight="1" thickBot="1">
      <c r="A3" s="12" t="s">
        <v>71</v>
      </c>
      <c r="B3" s="21" t="s">
        <v>75</v>
      </c>
      <c r="C3" s="13" t="s">
        <v>76</v>
      </c>
      <c r="D3" s="13" t="s">
        <v>77</v>
      </c>
    </row>
    <row r="4" spans="1:4" ht="26.25" customHeight="1" thickBot="1">
      <c r="A4" s="12" t="s">
        <v>78</v>
      </c>
      <c r="B4" s="21" t="s">
        <v>79</v>
      </c>
      <c r="C4" s="13" t="s">
        <v>80</v>
      </c>
      <c r="D4" s="13" t="s">
        <v>81</v>
      </c>
    </row>
    <row r="5" spans="1:4" ht="26.25" customHeight="1" thickBot="1">
      <c r="A5" s="12" t="s">
        <v>78</v>
      </c>
      <c r="B5" s="21" t="s">
        <v>82</v>
      </c>
      <c r="C5" s="13" t="s">
        <v>83</v>
      </c>
      <c r="D5" s="13" t="s">
        <v>84</v>
      </c>
    </row>
    <row r="6" spans="1:4" ht="26.25" customHeight="1" thickBot="1">
      <c r="A6" s="12" t="s">
        <v>85</v>
      </c>
      <c r="B6" s="21" t="s">
        <v>86</v>
      </c>
      <c r="C6" s="13" t="s">
        <v>87</v>
      </c>
      <c r="D6" s="13" t="s">
        <v>88</v>
      </c>
    </row>
    <row r="7" spans="1:4" ht="26.25" customHeight="1" thickBot="1">
      <c r="A7" s="12" t="s">
        <v>85</v>
      </c>
      <c r="B7" s="21" t="s">
        <v>89</v>
      </c>
      <c r="C7" s="13" t="s">
        <v>90</v>
      </c>
      <c r="D7" s="13" t="s">
        <v>91</v>
      </c>
    </row>
    <row r="8" spans="1:4" ht="26.25" customHeight="1" thickBot="1">
      <c r="A8" s="12" t="s">
        <v>85</v>
      </c>
      <c r="B8" s="21" t="s">
        <v>92</v>
      </c>
      <c r="C8" s="13" t="s">
        <v>93</v>
      </c>
      <c r="D8" s="13" t="s">
        <v>94</v>
      </c>
    </row>
    <row r="9" spans="1:4" ht="26.25" customHeight="1" thickBot="1">
      <c r="A9" s="12" t="s">
        <v>85</v>
      </c>
      <c r="B9" s="21" t="s">
        <v>95</v>
      </c>
      <c r="C9" s="13" t="s">
        <v>96</v>
      </c>
      <c r="D9" s="13" t="s">
        <v>97</v>
      </c>
    </row>
    <row r="10" spans="1:4" ht="26.25" customHeight="1" thickBot="1">
      <c r="A10" s="12" t="s">
        <v>85</v>
      </c>
      <c r="B10" s="21" t="s">
        <v>98</v>
      </c>
      <c r="C10" s="13" t="s">
        <v>99</v>
      </c>
      <c r="D10" s="13" t="s">
        <v>100</v>
      </c>
    </row>
    <row r="11" spans="1:4" ht="26.25" customHeight="1" thickBot="1">
      <c r="A11" s="12" t="s">
        <v>85</v>
      </c>
      <c r="B11" s="21" t="s">
        <v>101</v>
      </c>
      <c r="C11" s="13" t="s">
        <v>102</v>
      </c>
      <c r="D11" s="13" t="s">
        <v>103</v>
      </c>
    </row>
    <row r="12" spans="1:4" ht="26.25" customHeight="1" thickBot="1">
      <c r="A12" s="12" t="s">
        <v>104</v>
      </c>
      <c r="B12" s="21" t="s">
        <v>86</v>
      </c>
      <c r="C12" s="13" t="s">
        <v>105</v>
      </c>
      <c r="D12" s="13" t="s">
        <v>106</v>
      </c>
    </row>
    <row r="13" spans="1:4" ht="26.25" customHeight="1" thickBot="1">
      <c r="A13" s="12" t="s">
        <v>104</v>
      </c>
      <c r="B13" s="21" t="s">
        <v>89</v>
      </c>
      <c r="C13" s="13" t="s">
        <v>107</v>
      </c>
      <c r="D13" s="13" t="s">
        <v>108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16C38E-9314-4858-A0B4-B19A4CCC525E}">
  <dimension ref="A1:AH16"/>
  <sheetViews>
    <sheetView topLeftCell="A3" zoomScale="145" zoomScaleNormal="145" workbookViewId="0">
      <selection activeCell="A7" sqref="A7:C7"/>
    </sheetView>
  </sheetViews>
  <sheetFormatPr defaultRowHeight="15"/>
  <cols>
    <col min="1" max="1" width="30" customWidth="1"/>
    <col min="2" max="2" width="37.42578125" customWidth="1"/>
    <col min="3" max="3" width="48.42578125" customWidth="1"/>
    <col min="4" max="5" width="9.140625" style="14"/>
    <col min="6" max="34" width="9.140625" style="1"/>
  </cols>
  <sheetData>
    <row r="1" spans="1:3" ht="31.5" customHeight="1" thickBot="1">
      <c r="A1" s="12" t="s">
        <v>15</v>
      </c>
      <c r="B1" s="12" t="s">
        <v>16</v>
      </c>
      <c r="C1" s="12" t="s">
        <v>17</v>
      </c>
    </row>
    <row r="2" spans="1:3" ht="31.5" customHeight="1" thickBot="1">
      <c r="A2" s="12" t="s">
        <v>18</v>
      </c>
      <c r="B2" s="13" t="s">
        <v>55</v>
      </c>
      <c r="C2" s="13" t="s">
        <v>19</v>
      </c>
    </row>
    <row r="3" spans="1:3" ht="31.5" customHeight="1" thickBot="1">
      <c r="A3" s="12" t="s">
        <v>20</v>
      </c>
      <c r="B3" s="13" t="s">
        <v>21</v>
      </c>
      <c r="C3" s="13" t="s">
        <v>22</v>
      </c>
    </row>
    <row r="4" spans="1:3" ht="31.5" customHeight="1" thickBot="1">
      <c r="A4" s="12" t="s">
        <v>23</v>
      </c>
      <c r="B4" s="13" t="s">
        <v>56</v>
      </c>
      <c r="C4" s="13" t="s">
        <v>24</v>
      </c>
    </row>
    <row r="5" spans="1:3" ht="31.5" customHeight="1" thickBot="1">
      <c r="A5" s="12" t="s">
        <v>25</v>
      </c>
      <c r="B5" s="13" t="s">
        <v>21</v>
      </c>
      <c r="C5" s="13" t="s">
        <v>26</v>
      </c>
    </row>
    <row r="6" spans="1:3" ht="31.5" customHeight="1" thickBot="1">
      <c r="A6" s="12" t="s">
        <v>27</v>
      </c>
      <c r="B6" s="13" t="s">
        <v>57</v>
      </c>
      <c r="C6" s="13" t="s">
        <v>28</v>
      </c>
    </row>
    <row r="7" spans="1:3" ht="31.5" customHeight="1" thickBot="1">
      <c r="A7" s="12" t="s">
        <v>29</v>
      </c>
      <c r="B7" s="13" t="s">
        <v>30</v>
      </c>
      <c r="C7" s="13" t="s">
        <v>31</v>
      </c>
    </row>
    <row r="8" spans="1:3" ht="31.5" customHeight="1" thickBot="1">
      <c r="A8" s="12" t="s">
        <v>32</v>
      </c>
      <c r="B8" s="13" t="s">
        <v>58</v>
      </c>
      <c r="C8" s="13" t="s">
        <v>33</v>
      </c>
    </row>
    <row r="9" spans="1:3" ht="31.5" customHeight="1" thickBot="1">
      <c r="A9" s="12" t="s">
        <v>34</v>
      </c>
      <c r="B9" s="13" t="s">
        <v>35</v>
      </c>
      <c r="C9" s="13" t="s">
        <v>36</v>
      </c>
    </row>
    <row r="10" spans="1:3" ht="31.5" customHeight="1" thickBot="1">
      <c r="A10" s="12" t="s">
        <v>37</v>
      </c>
      <c r="B10" s="13" t="s">
        <v>59</v>
      </c>
      <c r="C10" s="13" t="s">
        <v>38</v>
      </c>
    </row>
    <row r="11" spans="1:3" ht="31.5" customHeight="1" thickBot="1">
      <c r="A11" s="12" t="s">
        <v>39</v>
      </c>
      <c r="B11" s="13" t="s">
        <v>40</v>
      </c>
      <c r="C11" s="13" t="s">
        <v>41</v>
      </c>
    </row>
    <row r="12" spans="1:3" ht="31.5" customHeight="1" thickBot="1">
      <c r="A12" s="12" t="s">
        <v>42</v>
      </c>
      <c r="B12" s="13" t="s">
        <v>60</v>
      </c>
      <c r="C12" s="13" t="s">
        <v>43</v>
      </c>
    </row>
    <row r="13" spans="1:3" ht="31.5" customHeight="1" thickBot="1">
      <c r="A13" s="12" t="s">
        <v>44</v>
      </c>
      <c r="B13" s="13" t="s">
        <v>45</v>
      </c>
      <c r="C13" s="13" t="s">
        <v>46</v>
      </c>
    </row>
    <row r="14" spans="1:3" ht="31.5" customHeight="1" thickBot="1">
      <c r="A14" s="12" t="s">
        <v>47</v>
      </c>
      <c r="B14" s="13" t="s">
        <v>61</v>
      </c>
      <c r="C14" s="13" t="s">
        <v>48</v>
      </c>
    </row>
    <row r="15" spans="1:3" ht="31.5" customHeight="1" thickBot="1">
      <c r="A15" s="12" t="s">
        <v>49</v>
      </c>
      <c r="B15" s="13" t="s">
        <v>50</v>
      </c>
      <c r="C15" s="13" t="s">
        <v>51</v>
      </c>
    </row>
    <row r="16" spans="1:3" ht="31.5" customHeight="1" thickBot="1">
      <c r="A16" s="12" t="s">
        <v>52</v>
      </c>
      <c r="B16" s="13" t="s">
        <v>53</v>
      </c>
      <c r="C16" s="13" t="s">
        <v>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Sheet1</vt:lpstr>
      <vt:lpstr>Sheet4</vt:lpstr>
      <vt:lpstr>Main</vt:lpstr>
      <vt:lpstr>Shortcut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Rainric Randy P. Yu</dc:creator>
  <cp:lastModifiedBy>Rainric Randy P. Yu</cp:lastModifiedBy>
  <dcterms:created xsi:type="dcterms:W3CDTF">2026-02-14T17:41:17Z</dcterms:created>
  <dcterms:modified xsi:type="dcterms:W3CDTF">2026-03-04T10:46:18Z</dcterms:modified>
</cp:coreProperties>
</file>