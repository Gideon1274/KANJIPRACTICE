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deo\Desktop\MAIN FOR KANJI\KANJIPRACTICE\"/>
    </mc:Choice>
  </mc:AlternateContent>
  <xr:revisionPtr revIDLastSave="0" documentId="13_ncr:2001_{1D4E1FC2-D7CE-4337-8882-7900CC008CE7}" xr6:coauthVersionLast="47" xr6:coauthVersionMax="47" xr10:uidLastSave="{00000000-0000-0000-0000-000000000000}"/>
  <bookViews>
    <workbookView xWindow="-120" yWindow="-120" windowWidth="29040" windowHeight="15720" activeTab="3" xr2:uid="{C1F780F9-615F-4565-A6FA-57151FF7223D}"/>
  </bookViews>
  <sheets>
    <sheet name="Sheet1" sheetId="1" r:id="rId1"/>
    <sheet name="Sheet4" sheetId="6" r:id="rId2"/>
    <sheet name="Shortcut" sheetId="7" r:id="rId3"/>
    <sheet name="Main" sheetId="3" r:id="rId4"/>
    <sheet name="Progress" sheetId="8" r:id="rId5"/>
    <sheet name="Sheet2" sheetId="5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3" l="1"/>
  <c r="F28" i="3"/>
  <c r="B26" i="3"/>
  <c r="F26" i="3"/>
  <c r="B27" i="3"/>
  <c r="F27" i="3"/>
  <c r="B24" i="3"/>
  <c r="F24" i="3"/>
  <c r="B25" i="3"/>
  <c r="F25" i="3"/>
  <c r="B21" i="3"/>
  <c r="F21" i="3"/>
  <c r="B22" i="3"/>
  <c r="F22" i="3"/>
  <c r="B23" i="3"/>
  <c r="F23" i="3"/>
  <c r="B17" i="3"/>
  <c r="F17" i="3"/>
  <c r="B18" i="3"/>
  <c r="F18" i="3"/>
  <c r="B19" i="3"/>
  <c r="F19" i="3"/>
  <c r="B20" i="3"/>
  <c r="F20" i="3"/>
  <c r="E12" i="3"/>
  <c r="G3" i="6"/>
  <c r="I2" i="6"/>
  <c r="H2" i="6"/>
  <c r="B3" i="6" s="1"/>
  <c r="G2" i="6"/>
  <c r="E2" i="6"/>
  <c r="E3" i="6" s="1"/>
  <c r="B2" i="6"/>
  <c r="J1" i="6"/>
  <c r="C2" i="6" s="1"/>
  <c r="F1" i="6"/>
  <c r="A2" i="6" s="1"/>
  <c r="E11" i="3"/>
  <c r="M2" i="3"/>
  <c r="M3" i="3" s="1"/>
  <c r="N1" i="3"/>
  <c r="R1" i="3"/>
  <c r="Q2" i="3"/>
  <c r="R2" i="3" s="1"/>
  <c r="P2" i="3"/>
  <c r="P3" i="3" s="1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O2" i="3"/>
  <c r="E10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2" i="3"/>
  <c r="F9" i="3"/>
  <c r="F10" i="3"/>
  <c r="F11" i="3"/>
  <c r="F12" i="3"/>
  <c r="F13" i="3"/>
  <c r="F14" i="3"/>
  <c r="F15" i="3"/>
  <c r="F16" i="3"/>
  <c r="F4" i="3"/>
  <c r="F5" i="3"/>
  <c r="F6" i="3"/>
  <c r="F7" i="3"/>
  <c r="F8" i="3"/>
  <c r="F3" i="3"/>
  <c r="B56" i="1"/>
  <c r="B55" i="1"/>
  <c r="B54" i="1"/>
  <c r="B53" i="1"/>
  <c r="B52" i="1"/>
  <c r="B51" i="1"/>
  <c r="B50" i="1"/>
  <c r="B49" i="1"/>
  <c r="B48" i="1"/>
  <c r="B42" i="1"/>
  <c r="B43" i="1"/>
  <c r="B44" i="1"/>
  <c r="B45" i="1"/>
  <c r="B46" i="1"/>
  <c r="B47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2" i="1"/>
  <c r="I3" i="6" l="1"/>
  <c r="J2" i="6"/>
  <c r="C3" i="6" s="1"/>
  <c r="H3" i="6"/>
  <c r="H4" i="6" s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G4" i="6"/>
  <c r="E4" i="6"/>
  <c r="F3" i="6"/>
  <c r="A4" i="6" s="1"/>
  <c r="F2" i="6"/>
  <c r="A3" i="6" s="1"/>
  <c r="Q3" i="3"/>
  <c r="Q4" i="3" s="1"/>
  <c r="M4" i="3"/>
  <c r="N3" i="3"/>
  <c r="N2" i="3"/>
  <c r="O3" i="3"/>
  <c r="E5" i="6" l="1"/>
  <c r="F4" i="6"/>
  <c r="A5" i="6" s="1"/>
  <c r="B5" i="6"/>
  <c r="G5" i="6"/>
  <c r="B4" i="6"/>
  <c r="C4" i="6"/>
  <c r="I4" i="6"/>
  <c r="J3" i="6"/>
  <c r="R3" i="3"/>
  <c r="Q5" i="3"/>
  <c r="R4" i="3"/>
  <c r="N4" i="3"/>
  <c r="M5" i="3"/>
  <c r="O4" i="3"/>
  <c r="B6" i="6" l="1"/>
  <c r="G6" i="6"/>
  <c r="I5" i="6"/>
  <c r="J4" i="6"/>
  <c r="C5" i="6" s="1"/>
  <c r="E6" i="6"/>
  <c r="F5" i="6"/>
  <c r="A6" i="6" s="1"/>
  <c r="Q6" i="3"/>
  <c r="R5" i="3"/>
  <c r="M6" i="3"/>
  <c r="N5" i="3"/>
  <c r="O5" i="3"/>
  <c r="E7" i="6" l="1"/>
  <c r="F6" i="6"/>
  <c r="A7" i="6" s="1"/>
  <c r="I6" i="6"/>
  <c r="J5" i="6"/>
  <c r="C6" i="6"/>
  <c r="G7" i="6"/>
  <c r="B7" i="6"/>
  <c r="Q7" i="3"/>
  <c r="R6" i="3"/>
  <c r="M7" i="3"/>
  <c r="N6" i="3"/>
  <c r="O6" i="3"/>
  <c r="J6" i="6" l="1"/>
  <c r="I7" i="6"/>
  <c r="C7" i="6"/>
  <c r="G8" i="6"/>
  <c r="B8" i="6"/>
  <c r="E8" i="6"/>
  <c r="F7" i="6"/>
  <c r="A8" i="6"/>
  <c r="Q8" i="3"/>
  <c r="R7" i="3"/>
  <c r="M8" i="3"/>
  <c r="N7" i="3"/>
  <c r="O7" i="3"/>
  <c r="B9" i="6" l="1"/>
  <c r="G9" i="6"/>
  <c r="E9" i="6"/>
  <c r="F8" i="6"/>
  <c r="A9" i="6"/>
  <c r="I8" i="6"/>
  <c r="J7" i="6"/>
  <c r="C8" i="6"/>
  <c r="Q9" i="3"/>
  <c r="R8" i="3"/>
  <c r="M9" i="3"/>
  <c r="N8" i="3"/>
  <c r="O8" i="3"/>
  <c r="E10" i="6" l="1"/>
  <c r="F9" i="6"/>
  <c r="A10" i="6"/>
  <c r="G10" i="6"/>
  <c r="B10" i="6"/>
  <c r="J8" i="6"/>
  <c r="C9" i="6" s="1"/>
  <c r="I9" i="6"/>
  <c r="Q10" i="3"/>
  <c r="R9" i="3"/>
  <c r="M10" i="3"/>
  <c r="N9" i="3"/>
  <c r="O9" i="3"/>
  <c r="B11" i="6" l="1"/>
  <c r="G11" i="6"/>
  <c r="I10" i="6"/>
  <c r="J9" i="6"/>
  <c r="C10" i="6" s="1"/>
  <c r="E11" i="6"/>
  <c r="F10" i="6"/>
  <c r="A11" i="6" s="1"/>
  <c r="Q11" i="3"/>
  <c r="R10" i="3"/>
  <c r="M11" i="3"/>
  <c r="N10" i="3"/>
  <c r="O10" i="3"/>
  <c r="E12" i="6" l="1"/>
  <c r="F11" i="6"/>
  <c r="A12" i="6"/>
  <c r="I11" i="6"/>
  <c r="J10" i="6"/>
  <c r="C11" i="6" s="1"/>
  <c r="B12" i="6"/>
  <c r="G12" i="6"/>
  <c r="Q12" i="3"/>
  <c r="R11" i="3"/>
  <c r="M12" i="3"/>
  <c r="N11" i="3"/>
  <c r="O11" i="3"/>
  <c r="G13" i="6" l="1"/>
  <c r="B13" i="6"/>
  <c r="I12" i="6"/>
  <c r="J11" i="6"/>
  <c r="C12" i="6"/>
  <c r="F12" i="6"/>
  <c r="A13" i="6" s="1"/>
  <c r="E13" i="6"/>
  <c r="Q13" i="3"/>
  <c r="R12" i="3"/>
  <c r="M13" i="3"/>
  <c r="N12" i="3"/>
  <c r="O12" i="3"/>
  <c r="E14" i="6" l="1"/>
  <c r="F13" i="6"/>
  <c r="A14" i="6"/>
  <c r="I13" i="6"/>
  <c r="J12" i="6"/>
  <c r="C13" i="6" s="1"/>
  <c r="B14" i="6"/>
  <c r="G14" i="6"/>
  <c r="Q14" i="3"/>
  <c r="R13" i="3"/>
  <c r="N13" i="3"/>
  <c r="M14" i="3"/>
  <c r="O13" i="3"/>
  <c r="G15" i="6" l="1"/>
  <c r="B16" i="6" s="1"/>
  <c r="B15" i="6"/>
  <c r="I14" i="6"/>
  <c r="J13" i="6"/>
  <c r="C14" i="6" s="1"/>
  <c r="E15" i="6"/>
  <c r="A16" i="6" s="1"/>
  <c r="F14" i="6"/>
  <c r="A15" i="6" s="1"/>
  <c r="Q15" i="3"/>
  <c r="R14" i="3"/>
  <c r="M15" i="3"/>
  <c r="N14" i="3"/>
  <c r="O14" i="3"/>
  <c r="J14" i="6" l="1"/>
  <c r="C15" i="6" s="1"/>
  <c r="I15" i="6"/>
  <c r="C16" i="6" s="1"/>
  <c r="O15" i="3"/>
</calcChain>
</file>

<file path=xl/sharedStrings.xml><?xml version="1.0" encoding="utf-8"?>
<sst xmlns="http://schemas.openxmlformats.org/spreadsheetml/2006/main" count="253" uniqueCount="189">
  <si>
    <t>Date</t>
  </si>
  <si>
    <t>Number</t>
  </si>
  <si>
    <t>Must</t>
  </si>
  <si>
    <t>Notes</t>
  </si>
  <si>
    <t>No Progress</t>
  </si>
  <si>
    <t>END OF N3</t>
  </si>
  <si>
    <t>１４１１</t>
  </si>
  <si>
    <t>Column1</t>
  </si>
  <si>
    <t>Hrs</t>
  </si>
  <si>
    <t>Count</t>
  </si>
  <si>
    <t>Ga sakit ang liog</t>
  </si>
  <si>
    <t>Minutes of Studying</t>
  </si>
  <si>
    <t>Minutes of Not doing shit</t>
  </si>
  <si>
    <t xml:space="preserve">Increase in number </t>
  </si>
  <si>
    <t>+ 100 new cards in DoFG Basic</t>
  </si>
  <si>
    <t>Time Block</t>
  </si>
  <si>
    <t>Activity</t>
  </si>
  <si>
    <t>Mental Focus</t>
  </si>
  <si>
    <t>08:00 – 09:30</t>
  </si>
  <si>
    <t>High Speed. Aim for 40-50 entries.</t>
  </si>
  <si>
    <t>09:30 – 09:50</t>
  </si>
  <si>
    <t>Active Recovery</t>
  </si>
  <si>
    <t>Hydrate. Stretch your wrists. No screens.</t>
  </si>
  <si>
    <t>09:50 – 11:20</t>
  </si>
  <si>
    <t>Deep Focus. Read the usage notes.</t>
  </si>
  <si>
    <t>11:20 – 11:40</t>
  </si>
  <si>
    <t>Quick movement/pushups to keep blood flowing.</t>
  </si>
  <si>
    <t>11:40 – 13:10</t>
  </si>
  <si>
    <t>Highest Difficulty. Slow down and type perfectly.</t>
  </si>
  <si>
    <t>13:10 – 14:00</t>
  </si>
  <si>
    <t>The "Okayu" Lunch Break</t>
  </si>
  <si>
    <t>Eat while watching a stream. Active Listening.</t>
  </si>
  <si>
    <t>14:00 – 15:30</t>
  </si>
  <si>
    <t>Pure volume. Crank the music, just type.</t>
  </si>
  <si>
    <t>15:30 – 15:50</t>
  </si>
  <si>
    <t>Wrist Maintenance</t>
  </si>
  <si>
    <t>Critical: Ice your wrists or massage your forearms.</t>
  </si>
  <si>
    <t>15:50 – 17:20</t>
  </si>
  <si>
    <t>Connect what you learned in the morning.</t>
  </si>
  <si>
    <t>17:20 – 18:30</t>
  </si>
  <si>
    <t>The "Conan" Review</t>
  </si>
  <si>
    <t>Watch 2 episodes of Detective Conan. Try to spot 3 grammar points.</t>
  </si>
  <si>
    <t>18:30 – 20:00</t>
  </si>
  <si>
    <t>The "Wall." Push through the fatigue.</t>
  </si>
  <si>
    <t>20:00 – 21:00</t>
  </si>
  <si>
    <t>Dinner &amp; Recovery</t>
  </si>
  <si>
    <t>Real food. Step outside for air.</t>
  </si>
  <si>
    <t>21:00 – 22:30</t>
  </si>
  <si>
    <t>Finish the daily quota for vocab.</t>
  </si>
  <si>
    <t>22:30 – 00:00</t>
  </si>
  <si>
    <t>Final "Shadowing" Session</t>
  </si>
  <si>
    <t>Speak out loud what you typed today.</t>
  </si>
  <si>
    <t>00:00 – 07:00</t>
  </si>
  <si>
    <t>Memory Consolidation (Sleep)</t>
  </si>
  <si>
    <t>DO NOT SKIP. Your brain moves Anki data to long-term memory during REM.</t>
  </si>
  <si>
    <t xml:space="preserve">Session 1: </t>
  </si>
  <si>
    <t xml:space="preserve">Session 2: </t>
  </si>
  <si>
    <t>Session 3:</t>
  </si>
  <si>
    <t>Session 4:</t>
  </si>
  <si>
    <t xml:space="preserve">Session 5: </t>
  </si>
  <si>
    <t xml:space="preserve">Session 6: </t>
  </si>
  <si>
    <t>Session 7:</t>
  </si>
  <si>
    <t>Column2</t>
  </si>
  <si>
    <t>5</t>
  </si>
  <si>
    <t>Column3</t>
  </si>
  <si>
    <t>2</t>
  </si>
  <si>
    <t>50</t>
  </si>
  <si>
    <t>Category</t>
  </si>
  <si>
    <t>Shortcut</t>
  </si>
  <si>
    <t>Action</t>
  </si>
  <si>
    <t>Description</t>
  </si>
  <si>
    <t>System</t>
  </si>
  <si>
    <t>Ctrl + M</t>
  </si>
  <si>
    <t>Mute/Unmute</t>
  </si>
  <si>
    <t>Toggles sentence audio and sound effects.</t>
  </si>
  <si>
    <t>Ctrl + Enter</t>
  </si>
  <si>
    <t>Reset Quiz</t>
  </si>
  <si>
    <t>Triggers reset prompt (or instant reset if quiz is finished).</t>
  </si>
  <si>
    <t>Input</t>
  </si>
  <si>
    <r>
      <t>Shift + ~</t>
    </r>
    <r>
      <rPr>
        <sz val="11"/>
        <color rgb="FF1F1F1F"/>
        <rFont val="Arial"/>
        <family val="2"/>
      </rPr>
      <t xml:space="preserve"> (Backquote)</t>
    </r>
  </si>
  <si>
    <t>Toggle Input</t>
  </si>
  <si>
    <t>Moves text between Answer Box and Vocab Range Input.</t>
  </si>
  <si>
    <t>Enter</t>
  </si>
  <si>
    <t>Submit / Restart</t>
  </si>
  <si>
    <t>Submits answer or restarts quiz if the session is completed.</t>
  </si>
  <si>
    <t>Range Math</t>
  </si>
  <si>
    <t>Shift + 1</t>
  </si>
  <si>
    <t>Move Forward (+2)</t>
  </si>
  <si>
    <t>Sets range to (End+1) to (End+2). Starts quiz.</t>
  </si>
  <si>
    <t>Shift + 2</t>
  </si>
  <si>
    <t>Move Forward (+5)</t>
  </si>
  <si>
    <t>Sets range to (End+1) to (End+5). Starts quiz.</t>
  </si>
  <si>
    <t>Shift + 3</t>
  </si>
  <si>
    <t>Slide Back (-2)</t>
  </si>
  <si>
    <t>Moves current range window backward by 2.</t>
  </si>
  <si>
    <t>Shift + 4</t>
  </si>
  <si>
    <t>Slide Back (-5)</t>
  </si>
  <si>
    <t>Moves current range window backward by 5.</t>
  </si>
  <si>
    <t>Shift + 5</t>
  </si>
  <si>
    <t>Expand Start (-50)</t>
  </si>
  <si>
    <t>Keeps End point, but moves Start back by 50.</t>
  </si>
  <si>
    <t>Shift + 6</t>
  </si>
  <si>
    <t>Shrink End (-1)</t>
  </si>
  <si>
    <t>Subtracts 1 from the End point of the range.</t>
  </si>
  <si>
    <t>Confirmation</t>
  </si>
  <si>
    <t>Confirm Reset</t>
  </si>
  <si>
    <t>Used when "Reset Quiz?" prompt is visible (Yes).</t>
  </si>
  <si>
    <t>Cancel Reset</t>
  </si>
  <si>
    <t>Used when "Reset Quiz?" prompt is visible (No).</t>
  </si>
  <si>
    <t>Tabang sa Event ni Ate Dayen (Abtik) socks (Sat and Sun)</t>
  </si>
  <si>
    <t>Column4</t>
  </si>
  <si>
    <t>Passed N4 (Mock Test 1st)</t>
  </si>
  <si>
    <t>Passed N5 (Mock Test 1st)</t>
  </si>
  <si>
    <t>""</t>
  </si>
  <si>
    <t>Phase</t>
  </si>
  <si>
    <t>Target Resources</t>
  </si>
  <si>
    <t>Primary Action</t>
  </si>
  <si>
    <t>Goal / Success Metric</t>
  </si>
  <si>
    <t>Foundations</t>
  </si>
  <si>
    <t>Core 2000 + DoBJG (Basic)</t>
  </si>
  <si>
    <t>Manual Typing + Study</t>
  </si>
  <si>
    <t>Build the "Core Engine" &amp; basic logic.</t>
  </si>
  <si>
    <t>Audit</t>
  </si>
  <si>
    <t>N5.js + N4.js</t>
  </si>
  <si>
    <t>59 WPM Blitz Audit</t>
  </si>
  <si>
    <t>Patch "corrupted" files/gaps in basics.</t>
  </si>
  <si>
    <t>Intermediate</t>
  </si>
  <si>
    <t>DoIJG (Intermed.) + N3.js</t>
  </si>
  <si>
    <t>Contextual Learning</t>
  </si>
  <si>
    <t>Power-Up</t>
  </si>
  <si>
    <t>N2.js + LN Immersion</t>
  </si>
  <si>
    <t>Massive Data Import</t>
  </si>
  <si>
    <r>
      <t xml:space="preserve">Install N2 vocab </t>
    </r>
    <r>
      <rPr>
        <i/>
        <sz val="11"/>
        <color rgb="FF1F1F1F"/>
        <rFont val="Arial"/>
        <family val="2"/>
      </rPr>
      <t>before</t>
    </r>
    <r>
      <rPr>
        <sz val="11"/>
        <color rgb="FF1F1F1F"/>
        <rFont val="Arial"/>
        <family val="2"/>
      </rPr>
      <t xml:space="preserve"> advanced grammar.</t>
    </r>
  </si>
  <si>
    <t>Elite Tier</t>
  </si>
  <si>
    <t>DoAJG (Advanced) + N1.js</t>
  </si>
  <si>
    <t>System Optimization</t>
  </si>
  <si>
    <t>Final Boss; Read academic/formal texts.</t>
  </si>
  <si>
    <t>Goal Finish Date Date</t>
  </si>
  <si>
    <r>
      <t xml:space="preserve">Finish before half of </t>
    </r>
    <r>
      <rPr>
        <b/>
        <sz val="11"/>
        <color rgb="FF1F1F1F"/>
        <rFont val="Arial"/>
        <family val="2"/>
      </rPr>
      <t>March 15, 2026</t>
    </r>
  </si>
  <si>
    <t>March 20, 2026</t>
  </si>
  <si>
    <r>
      <t xml:space="preserve">Bridge to daily fluency; Start </t>
    </r>
    <r>
      <rPr>
        <i/>
        <sz val="11"/>
        <color rgb="FF1F1F1F"/>
        <rFont val="Arial"/>
        <family val="2"/>
      </rPr>
      <t>Novels/Manga</t>
    </r>
  </si>
  <si>
    <r>
      <t xml:space="preserve">Finish Before </t>
    </r>
    <r>
      <rPr>
        <b/>
        <sz val="11"/>
        <color rgb="FF1F1F1F"/>
        <rFont val="Arial"/>
        <family val="2"/>
      </rPr>
      <t xml:space="preserve">May </t>
    </r>
    <r>
      <rPr>
        <sz val="11"/>
        <color rgb="FF1F1F1F"/>
        <rFont val="Arial"/>
        <family val="2"/>
      </rPr>
      <t>begins</t>
    </r>
  </si>
  <si>
    <r>
      <t xml:space="preserve">Finish Before </t>
    </r>
    <r>
      <rPr>
        <b/>
        <sz val="11"/>
        <color rgb="FF1F1F1F"/>
        <rFont val="Arial"/>
        <family val="2"/>
      </rPr>
      <t xml:space="preserve">June </t>
    </r>
    <r>
      <rPr>
        <sz val="11"/>
        <color rgb="FF1F1F1F"/>
        <rFont val="Arial"/>
        <family val="2"/>
      </rPr>
      <t>begins</t>
    </r>
  </si>
  <si>
    <r>
      <t xml:space="preserve">Finish Before </t>
    </r>
    <r>
      <rPr>
        <b/>
        <sz val="11"/>
        <color rgb="FF1F1F1F"/>
        <rFont val="Arial"/>
        <family val="2"/>
      </rPr>
      <t xml:space="preserve">August </t>
    </r>
    <r>
      <rPr>
        <sz val="11"/>
        <color rgb="FF1F1F1F"/>
        <rFont val="Arial"/>
        <family val="2"/>
      </rPr>
      <t>begins</t>
    </r>
  </si>
  <si>
    <t>Milestone</t>
  </si>
  <si>
    <t>Status</t>
  </si>
  <si>
    <t>Core 2000</t>
  </si>
  <si>
    <t>In Progress</t>
  </si>
  <si>
    <t>Use 10-block stress tests.</t>
  </si>
  <si>
    <t>DoBJG (Basic)</t>
  </si>
  <si>
    <t>Focus on particle logic.</t>
  </si>
  <si>
    <t>N5/N4 Audit</t>
  </si>
  <si>
    <t>Locked</t>
  </si>
  <si>
    <t>Speed-run only.</t>
  </si>
  <si>
    <t>DoIJG (Inter.)</t>
  </si>
  <si>
    <t>The "N2 Bible."</t>
  </si>
  <si>
    <t>N3.js</t>
  </si>
  <si>
    <t>Half is already done.</t>
  </si>
  <si>
    <t>N2.js</t>
  </si>
  <si>
    <t>Massive vocab surge.</t>
  </si>
  <si>
    <t>DoAJG (Adv.)</t>
  </si>
  <si>
    <t>High-level formal logic.</t>
  </si>
  <si>
    <t>N1.js</t>
  </si>
  <si>
    <t>Final Boss encounter.</t>
  </si>
  <si>
    <t>March 15, 2026</t>
  </si>
  <si>
    <t>April 30, 2026</t>
  </si>
  <si>
    <t>March 31, 2026</t>
  </si>
  <si>
    <t>May 31, 2026</t>
  </si>
  <si>
    <t>June 30, 2026</t>
  </si>
  <si>
    <t>Finish the Goal before the Date</t>
  </si>
  <si>
    <t>Deck Target</t>
  </si>
  <si>
    <t>New Cards</t>
  </si>
  <si>
    <t>Review Count</t>
  </si>
  <si>
    <t>Accuracy (%)</t>
  </si>
  <si>
    <t>Reading/Listening (Mins)</t>
  </si>
  <si>
    <t>October 30, 2026</t>
  </si>
  <si>
    <t>Prompt for reset or instant reset if finished.</t>
  </si>
  <si>
    <t>Study</t>
  </si>
  <si>
    <t>Shift + Delete</t>
  </si>
  <si>
    <t>Auto-Correct</t>
  </si>
  <si>
    <t>Marks item correct and proceeds. Correctly saves last item.</t>
  </si>
  <si>
    <t>Audio</t>
  </si>
  <si>
    <t>Shift + Q</t>
  </si>
  <si>
    <t>Replay Audio</t>
  </si>
  <si>
    <t>Manually plays audio for current sentence.</t>
  </si>
  <si>
    <t>Navigation</t>
  </si>
  <si>
    <t>Shift + ~</t>
  </si>
  <si>
    <t>Swaps cursor between Answer and Range boxes.</t>
  </si>
  <si>
    <r>
      <t xml:space="preserve">Only do on </t>
    </r>
    <r>
      <rPr>
        <b/>
        <sz val="11"/>
        <color rgb="FF1F1F1F"/>
        <rFont val="Arial"/>
        <family val="2"/>
      </rPr>
      <t>April 1 to 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</si>
</sst>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Aptos Narrow"/>
      <family val="2"/>
      <scheme val="minor"/>
    </font>
    <font>
      <sz val="10"/>
      <color rgb="FF444746"/>
      <name val="Google Sans Text"/>
      <family val="2"/>
    </font>
    <font>
      <sz val="10"/>
      <color theme="1"/>
      <name val="Aptos Narrow"/>
      <family val="2"/>
      <scheme val="minor"/>
    </font>
    <font>
      <i/>
      <sz val="11"/>
      <color rgb="FF1F1F1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14" fontId="0" fillId="8" borderId="6" xfId="0" applyNumberFormat="1" applyFill="1" applyBorder="1"/>
    <xf numFmtId="0" fontId="0" fillId="9" borderId="7" xfId="0" applyFill="1" applyBorder="1" applyAlignment="1">
      <alignment horizontal="center" vertical="center"/>
    </xf>
    <xf numFmtId="0" fontId="0" fillId="8" borderId="7" xfId="0" applyFill="1" applyBorder="1"/>
    <xf numFmtId="0" fontId="0" fillId="9" borderId="8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1" readingOrder="1"/>
    </xf>
    <xf numFmtId="0" fontId="1" fillId="0" borderId="10" xfId="0" applyFont="1" applyBorder="1" applyAlignment="1">
      <alignment horizontal="left" vertical="center" wrapText="1" indent="1" readingOrder="1"/>
    </xf>
    <xf numFmtId="0" fontId="0" fillId="3" borderId="0" xfId="0" applyFill="1"/>
    <xf numFmtId="0" fontId="0" fillId="10" borderId="0" xfId="0" applyFill="1"/>
    <xf numFmtId="0" fontId="0" fillId="7" borderId="9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quotePrefix="1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4" fillId="0" borderId="10" xfId="0" applyFont="1" applyBorder="1" applyAlignment="1">
      <alignment horizontal="left" vertical="center" wrapText="1" indent="1" readingOrder="1"/>
    </xf>
    <xf numFmtId="0" fontId="0" fillId="3" borderId="0" xfId="0" applyFill="1" applyAlignment="1">
      <alignment horizontal="center" vertical="center" wrapText="1"/>
    </xf>
    <xf numFmtId="14" fontId="0" fillId="4" borderId="1" xfId="0" applyNumberFormat="1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0" fontId="0" fillId="4" borderId="2" xfId="0" applyFill="1" applyBorder="1" applyAlignment="1">
      <alignment vertical="center" wrapText="1"/>
    </xf>
    <xf numFmtId="0" fontId="0" fillId="3" borderId="3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5" borderId="2" xfId="0" applyFill="1" applyBorder="1" applyAlignment="1">
      <alignment wrapText="1"/>
    </xf>
    <xf numFmtId="0" fontId="0" fillId="5" borderId="2" xfId="0" applyFill="1" applyBorder="1" applyAlignment="1">
      <alignment vertical="center" wrapText="1"/>
    </xf>
    <xf numFmtId="0" fontId="0" fillId="4" borderId="4" xfId="0" applyFill="1" applyBorder="1" applyAlignment="1">
      <alignment wrapText="1"/>
    </xf>
    <xf numFmtId="0" fontId="0" fillId="4" borderId="4" xfId="0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0" xfId="0" applyFont="1"/>
    <xf numFmtId="15" fontId="2" fillId="0" borderId="10" xfId="0" quotePrefix="1" applyNumberFormat="1" applyFont="1" applyBorder="1" applyAlignment="1">
      <alignment horizontal="left" vertical="center" wrapText="1" indent="1" readingOrder="1"/>
    </xf>
    <xf numFmtId="0" fontId="2" fillId="12" borderId="10" xfId="0" applyFont="1" applyFill="1" applyBorder="1" applyAlignment="1">
      <alignment horizontal="left" vertical="center" wrapText="1" indent="1" readingOrder="1"/>
    </xf>
    <xf numFmtId="0" fontId="1" fillId="12" borderId="10" xfId="0" applyFont="1" applyFill="1" applyBorder="1" applyAlignment="1">
      <alignment horizontal="left" vertical="center" wrapText="1" indent="1" readingOrder="1"/>
    </xf>
    <xf numFmtId="0" fontId="2" fillId="12" borderId="10" xfId="0" quotePrefix="1" applyFont="1" applyFill="1" applyBorder="1" applyAlignment="1">
      <alignment horizontal="left" vertical="center" wrapText="1" indent="1" readingOrder="1"/>
    </xf>
    <xf numFmtId="0" fontId="0" fillId="7" borderId="0" xfId="0" applyNumberFormat="1" applyFill="1" applyAlignment="1">
      <alignment horizontal="center" vertical="center" wrapText="1"/>
    </xf>
    <xf numFmtId="0" fontId="0" fillId="11" borderId="0" xfId="0" applyNumberFormat="1" applyFill="1" applyAlignment="1">
      <alignment horizontal="center" vertical="center" wrapText="1"/>
    </xf>
  </cellXfs>
  <cellStyles count="1">
    <cellStyle name="Normal" xfId="0" builtinId="0"/>
  </cellStyles>
  <dxfs count="29"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solid">
          <fgColor theme="0" tint="-0.34998626667073579"/>
          <bgColor theme="0" tint="-0.34998626667073579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solid">
          <fgColor theme="0" tint="-0.34998626667073579"/>
          <bgColor theme="0" tint="-0.34998626667073579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solid">
          <fgColor theme="0" tint="-0.34998626667073579"/>
          <bgColor theme="0" tint="-0.34998626667073579"/>
        </patternFill>
      </fill>
      <alignment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solid">
          <fgColor theme="0" tint="-0.34998626667073579"/>
          <bgColor theme="0" tint="-0.34998626667073579"/>
        </patternFill>
      </fill>
      <alignment textRotation="0" wrapText="1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top style="thin">
          <color theme="0"/>
        </top>
        <bottom style="thin">
          <color theme="0"/>
        </bottom>
      </border>
    </dxf>
    <dxf>
      <alignment textRotation="0" wrapText="1" indent="0" justifyLastLine="0" shrinkToFit="0" readingOrder="0"/>
    </dxf>
    <dxf>
      <border outline="0">
        <bottom style="thin">
          <color theme="0"/>
        </bottom>
      </border>
    </dxf>
    <dxf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</dxf>
    <dxf>
      <numFmt numFmtId="19" formatCode="m/d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F96007-1FC4-4819-9CF7-2B89C2B466D2}" name="Table1" displayName="Table1" ref="A1:E1048576" totalsRowShown="0" headerRowDxfId="28">
  <autoFilter ref="A1:E1048576" xr:uid="{D7F96007-1FC4-4819-9CF7-2B89C2B466D2}"/>
  <tableColumns count="5">
    <tableColumn id="1" xr3:uid="{DA9F35A9-28BE-467E-B5D1-B589BAB57093}" name="Date"/>
    <tableColumn id="5" xr3:uid="{2FDAEBD2-0D27-453F-AC49-ED79C90ED69B}" name="Column1" dataDxfId="27">
      <calculatedColumnFormula>TEXT(A2,"dddd")</calculatedColumnFormula>
    </tableColumn>
    <tableColumn id="2" xr3:uid="{DDBA3A4E-D3A1-41C1-89F9-C2AE7FEFE91F}" name="Number"/>
    <tableColumn id="3" xr3:uid="{1CEF1DF7-192E-4D06-82EB-6BC81C370EC7}" name="Must"/>
    <tableColumn id="4" xr3:uid="{6C564E0A-4C81-4AFA-88D0-DC5ED0E109D8}" name="Notes" dataDxfId="26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D99E69-B3E0-4A05-8EC5-8355F684DDB9}" name="Table2" displayName="Table2" ref="A1:K28" totalsRowShown="0" dataDxfId="24" headerRowBorderDxfId="25" tableBorderDxfId="23" totalsRowBorderDxfId="22">
  <autoFilter ref="A1:K28" xr:uid="{69D99E69-B3E0-4A05-8EC5-8355F684DDB9}"/>
  <tableColumns count="11">
    <tableColumn id="1" xr3:uid="{C554A50F-9B05-4E88-96B0-EF419FAC3F63}" name="Date" dataDxfId="21" totalsRowDxfId="10"/>
    <tableColumn id="2" xr3:uid="{E7B0B357-5C11-4593-A917-E1F0A0BE22BA}" name="END OF N3" dataDxfId="20" totalsRowDxfId="9">
      <calculatedColumnFormula>TEXT(A2,"dddd")</calculatedColumnFormula>
    </tableColumn>
    <tableColumn id="3" xr3:uid="{17083DC3-337B-4AE9-9893-6D0E963076F0}" name="Count" dataDxfId="19" totalsRowDxfId="8"/>
    <tableColumn id="4" xr3:uid="{CDC7D777-E749-44D1-AE80-7765D6163513}" name="Number" dataDxfId="18" totalsRowDxfId="7"/>
    <tableColumn id="5" xr3:uid="{DC243566-1E75-4077-A37C-85F60D652C51}" name="Minutes of Studying" dataDxfId="17" totalsRowDxfId="6"/>
    <tableColumn id="8" xr3:uid="{9F048488-4B55-49EE-A094-68908100FF1E}" name="Increase in number " dataDxfId="16" totalsRowDxfId="5"/>
    <tableColumn id="9" xr3:uid="{2D45CC97-7B4F-47DC-A753-510D07827E76}" name="Minutes of Not doing shit" dataDxfId="15" totalsRowDxfId="4"/>
    <tableColumn id="7" xr3:uid="{FE910B77-D385-4FFC-826A-88E9A7C53247}" name="Column2" dataDxfId="14" totalsRowDxfId="3"/>
    <tableColumn id="11" xr3:uid="{A8FDBBB3-4A39-4C79-A2AE-686DF44E59FE}" name="Column1" dataDxfId="13" totalsRowDxfId="2"/>
    <tableColumn id="10" xr3:uid="{3D5BB1AA-4471-4EBA-A82C-0817293FA028}" name="Column3" dataDxfId="12" totalsRowDxfId="1"/>
    <tableColumn id="6" xr3:uid="{ACBA1B6F-2A16-4FB5-BFA6-B1E62BCC21F6}" name="Column4" dataDxfId="11" totalsRow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E270-0AE0-4C43-8F2E-DA456324A7A9}">
  <dimension ref="A1:AC69"/>
  <sheetViews>
    <sheetView zoomScale="115" zoomScaleNormal="115" workbookViewId="0">
      <selection activeCell="A41" sqref="A41:E56"/>
    </sheetView>
  </sheetViews>
  <sheetFormatPr defaultRowHeight="15"/>
  <cols>
    <col min="1" max="1" width="17.28515625" customWidth="1"/>
    <col min="2" max="2" width="17.28515625" style="2" customWidth="1"/>
    <col min="3" max="3" width="10.42578125" customWidth="1"/>
    <col min="5" max="5" width="21.7109375" style="4" customWidth="1"/>
    <col min="6" max="29" width="9.140625" style="1"/>
  </cols>
  <sheetData>
    <row r="1" spans="1:6">
      <c r="A1" s="3" t="s">
        <v>0</v>
      </c>
      <c r="B1" s="3" t="s">
        <v>7</v>
      </c>
      <c r="C1" s="3" t="s">
        <v>1</v>
      </c>
      <c r="D1" s="3" t="s">
        <v>2</v>
      </c>
      <c r="E1" s="4" t="s">
        <v>3</v>
      </c>
    </row>
    <row r="2" spans="1:6">
      <c r="A2" s="2">
        <v>46065</v>
      </c>
      <c r="C2">
        <v>1</v>
      </c>
      <c r="D2">
        <f>$F$2+(50*C2)</f>
        <v>1250</v>
      </c>
      <c r="E2" s="4">
        <v>1250</v>
      </c>
      <c r="F2" s="1">
        <v>1200</v>
      </c>
    </row>
    <row r="3" spans="1:6">
      <c r="A3" s="2">
        <v>46066</v>
      </c>
      <c r="C3">
        <v>2</v>
      </c>
      <c r="D3">
        <f t="shared" ref="D3:D39" si="0">$F$2+(50*C3)</f>
        <v>1300</v>
      </c>
      <c r="E3" s="4">
        <v>1280</v>
      </c>
    </row>
    <row r="4" spans="1:6">
      <c r="A4" s="2">
        <v>46067</v>
      </c>
      <c r="C4">
        <v>3</v>
      </c>
      <c r="D4">
        <f t="shared" si="0"/>
        <v>1350</v>
      </c>
      <c r="E4" s="4" t="s">
        <v>4</v>
      </c>
    </row>
    <row r="5" spans="1:6">
      <c r="A5" s="2">
        <v>46068</v>
      </c>
      <c r="C5">
        <v>4</v>
      </c>
      <c r="D5">
        <f t="shared" si="0"/>
        <v>1400</v>
      </c>
      <c r="E5" s="4">
        <v>1320</v>
      </c>
    </row>
    <row r="6" spans="1:6">
      <c r="A6" s="2">
        <v>46069</v>
      </c>
      <c r="C6">
        <v>5</v>
      </c>
      <c r="D6">
        <f t="shared" si="0"/>
        <v>1450</v>
      </c>
      <c r="E6" s="4">
        <v>1400</v>
      </c>
    </row>
    <row r="7" spans="1:6">
      <c r="A7" s="2">
        <v>46070</v>
      </c>
      <c r="C7">
        <v>6</v>
      </c>
      <c r="D7">
        <f t="shared" si="0"/>
        <v>1500</v>
      </c>
      <c r="E7" s="4" t="s">
        <v>6</v>
      </c>
    </row>
    <row r="8" spans="1:6">
      <c r="A8" s="2">
        <v>46071</v>
      </c>
      <c r="C8">
        <v>7</v>
      </c>
      <c r="D8">
        <f t="shared" si="0"/>
        <v>1550</v>
      </c>
    </row>
    <row r="9" spans="1:6">
      <c r="A9" s="2">
        <v>46072</v>
      </c>
      <c r="C9">
        <v>8</v>
      </c>
      <c r="D9">
        <f t="shared" si="0"/>
        <v>1600</v>
      </c>
    </row>
    <row r="10" spans="1:6">
      <c r="A10" s="2">
        <v>46073</v>
      </c>
      <c r="C10">
        <v>9</v>
      </c>
      <c r="D10">
        <f t="shared" si="0"/>
        <v>1650</v>
      </c>
    </row>
    <row r="11" spans="1:6">
      <c r="A11" s="2">
        <v>46074</v>
      </c>
      <c r="C11">
        <v>10</v>
      </c>
      <c r="D11">
        <f t="shared" si="0"/>
        <v>1700</v>
      </c>
    </row>
    <row r="12" spans="1:6">
      <c r="A12" s="2">
        <v>46075</v>
      </c>
      <c r="C12">
        <v>11</v>
      </c>
      <c r="D12">
        <f t="shared" si="0"/>
        <v>1750</v>
      </c>
    </row>
    <row r="13" spans="1:6">
      <c r="A13" s="2">
        <v>46076</v>
      </c>
      <c r="C13">
        <v>12</v>
      </c>
      <c r="D13">
        <f t="shared" si="0"/>
        <v>1800</v>
      </c>
    </row>
    <row r="14" spans="1:6">
      <c r="A14" s="2">
        <v>46077</v>
      </c>
      <c r="C14">
        <v>13</v>
      </c>
      <c r="D14">
        <f t="shared" si="0"/>
        <v>1850</v>
      </c>
    </row>
    <row r="15" spans="1:6">
      <c r="A15" s="2">
        <v>46078</v>
      </c>
      <c r="C15">
        <v>14</v>
      </c>
      <c r="D15">
        <f t="shared" si="0"/>
        <v>1900</v>
      </c>
    </row>
    <row r="16" spans="1:6">
      <c r="A16" s="2">
        <v>46079</v>
      </c>
      <c r="C16">
        <v>15</v>
      </c>
      <c r="D16">
        <f t="shared" si="0"/>
        <v>1950</v>
      </c>
    </row>
    <row r="17" spans="1:4">
      <c r="A17" s="2">
        <v>46080</v>
      </c>
      <c r="C17">
        <v>16</v>
      </c>
      <c r="D17">
        <f t="shared" si="0"/>
        <v>2000</v>
      </c>
    </row>
    <row r="18" spans="1:4">
      <c r="A18" s="2">
        <v>46081</v>
      </c>
      <c r="C18">
        <v>17</v>
      </c>
      <c r="D18">
        <f t="shared" si="0"/>
        <v>2050</v>
      </c>
    </row>
    <row r="19" spans="1:4">
      <c r="A19" s="2">
        <v>46082</v>
      </c>
      <c r="C19">
        <v>18</v>
      </c>
      <c r="D19">
        <f t="shared" si="0"/>
        <v>2100</v>
      </c>
    </row>
    <row r="20" spans="1:4">
      <c r="A20" s="2">
        <v>46083</v>
      </c>
      <c r="C20">
        <v>19</v>
      </c>
      <c r="D20">
        <f t="shared" si="0"/>
        <v>2150</v>
      </c>
    </row>
    <row r="21" spans="1:4">
      <c r="A21" s="2">
        <v>46084</v>
      </c>
      <c r="C21">
        <v>20</v>
      </c>
      <c r="D21">
        <f t="shared" si="0"/>
        <v>2200</v>
      </c>
    </row>
    <row r="22" spans="1:4">
      <c r="A22" s="2">
        <v>46085</v>
      </c>
      <c r="C22">
        <v>21</v>
      </c>
      <c r="D22">
        <f t="shared" si="0"/>
        <v>2250</v>
      </c>
    </row>
    <row r="23" spans="1:4">
      <c r="A23" s="2">
        <v>46086</v>
      </c>
      <c r="C23">
        <v>22</v>
      </c>
      <c r="D23">
        <f t="shared" si="0"/>
        <v>2300</v>
      </c>
    </row>
    <row r="24" spans="1:4">
      <c r="A24" s="2">
        <v>46087</v>
      </c>
      <c r="C24">
        <v>23</v>
      </c>
      <c r="D24">
        <f t="shared" si="0"/>
        <v>2350</v>
      </c>
    </row>
    <row r="25" spans="1:4">
      <c r="A25" s="2">
        <v>46088</v>
      </c>
      <c r="C25">
        <v>24</v>
      </c>
      <c r="D25">
        <f t="shared" si="0"/>
        <v>2400</v>
      </c>
    </row>
    <row r="26" spans="1:4">
      <c r="A26" s="2">
        <v>46089</v>
      </c>
      <c r="C26">
        <v>25</v>
      </c>
      <c r="D26">
        <f t="shared" si="0"/>
        <v>2450</v>
      </c>
    </row>
    <row r="27" spans="1:4">
      <c r="A27" s="2">
        <v>46090</v>
      </c>
      <c r="C27">
        <v>26</v>
      </c>
      <c r="D27">
        <f t="shared" si="0"/>
        <v>2500</v>
      </c>
    </row>
    <row r="28" spans="1:4">
      <c r="A28" s="2">
        <v>46091</v>
      </c>
      <c r="C28">
        <v>27</v>
      </c>
      <c r="D28">
        <f t="shared" si="0"/>
        <v>2550</v>
      </c>
    </row>
    <row r="29" spans="1:4">
      <c r="A29" s="2">
        <v>46092</v>
      </c>
      <c r="C29">
        <v>28</v>
      </c>
      <c r="D29">
        <f t="shared" si="0"/>
        <v>2600</v>
      </c>
    </row>
    <row r="30" spans="1:4">
      <c r="A30" s="2">
        <v>46093</v>
      </c>
      <c r="C30">
        <v>29</v>
      </c>
      <c r="D30">
        <f t="shared" si="0"/>
        <v>2650</v>
      </c>
    </row>
    <row r="31" spans="1:4">
      <c r="A31" s="2">
        <v>46094</v>
      </c>
      <c r="C31">
        <v>30</v>
      </c>
      <c r="D31">
        <f t="shared" si="0"/>
        <v>2700</v>
      </c>
    </row>
    <row r="32" spans="1:4">
      <c r="A32" s="2">
        <v>46095</v>
      </c>
      <c r="C32">
        <v>31</v>
      </c>
      <c r="D32">
        <f t="shared" si="0"/>
        <v>2750</v>
      </c>
    </row>
    <row r="33" spans="1:6">
      <c r="A33" s="2">
        <v>46096</v>
      </c>
      <c r="C33">
        <v>32</v>
      </c>
      <c r="D33">
        <f t="shared" si="0"/>
        <v>2800</v>
      </c>
    </row>
    <row r="34" spans="1:6">
      <c r="A34" s="2">
        <v>46097</v>
      </c>
      <c r="C34">
        <v>33</v>
      </c>
      <c r="D34">
        <f t="shared" si="0"/>
        <v>2850</v>
      </c>
    </row>
    <row r="35" spans="1:6">
      <c r="A35" s="2">
        <v>46098</v>
      </c>
      <c r="C35">
        <v>34</v>
      </c>
      <c r="D35">
        <f t="shared" si="0"/>
        <v>2900</v>
      </c>
    </row>
    <row r="36" spans="1:6">
      <c r="A36" s="2">
        <v>46099</v>
      </c>
      <c r="C36">
        <v>35</v>
      </c>
      <c r="D36">
        <f t="shared" si="0"/>
        <v>2950</v>
      </c>
    </row>
    <row r="37" spans="1:6">
      <c r="A37" s="2">
        <v>46100</v>
      </c>
      <c r="C37">
        <v>36</v>
      </c>
      <c r="D37">
        <f t="shared" si="0"/>
        <v>3000</v>
      </c>
    </row>
    <row r="38" spans="1:6">
      <c r="A38" s="2">
        <v>46101</v>
      </c>
      <c r="C38">
        <v>37</v>
      </c>
      <c r="D38">
        <f t="shared" si="0"/>
        <v>3050</v>
      </c>
    </row>
    <row r="39" spans="1:6">
      <c r="A39" s="2">
        <v>46102</v>
      </c>
      <c r="C39">
        <v>38</v>
      </c>
      <c r="D39">
        <f t="shared" si="0"/>
        <v>3100</v>
      </c>
    </row>
    <row r="40" spans="1:6">
      <c r="A40" s="2">
        <v>46103</v>
      </c>
      <c r="C40">
        <v>39</v>
      </c>
      <c r="D40">
        <f>$F$2+(50*C40)</f>
        <v>3150</v>
      </c>
    </row>
    <row r="41" spans="1:6">
      <c r="A41" s="2"/>
      <c r="B41" s="4" t="s">
        <v>5</v>
      </c>
      <c r="E41" s="4" t="s">
        <v>8</v>
      </c>
    </row>
    <row r="42" spans="1:6">
      <c r="A42" s="2">
        <v>46098</v>
      </c>
      <c r="B42" s="2" t="str">
        <f t="shared" ref="B42:B56" si="1">TEXT(A42,"dddd")</f>
        <v>Tuesday</v>
      </c>
      <c r="C42">
        <v>1</v>
      </c>
      <c r="D42">
        <v>160</v>
      </c>
      <c r="E42" s="4">
        <v>1.5</v>
      </c>
      <c r="F42" s="1">
        <v>0</v>
      </c>
    </row>
    <row r="43" spans="1:6">
      <c r="A43" s="2">
        <v>46099</v>
      </c>
      <c r="B43" s="2" t="str">
        <f t="shared" si="1"/>
        <v>Wednesday</v>
      </c>
      <c r="C43">
        <v>2</v>
      </c>
      <c r="D43">
        <v>350</v>
      </c>
      <c r="E43" s="4">
        <v>2.5</v>
      </c>
    </row>
    <row r="44" spans="1:6">
      <c r="A44" s="2">
        <v>46100</v>
      </c>
      <c r="B44" s="2" t="str">
        <f t="shared" si="1"/>
        <v>Thursday</v>
      </c>
      <c r="C44">
        <v>3</v>
      </c>
      <c r="D44">
        <v>440</v>
      </c>
      <c r="E44" s="4">
        <v>1.2</v>
      </c>
    </row>
    <row r="45" spans="1:6">
      <c r="A45" s="2">
        <v>46101</v>
      </c>
      <c r="B45" s="2" t="str">
        <f t="shared" si="1"/>
        <v>Friday</v>
      </c>
      <c r="C45">
        <v>4</v>
      </c>
      <c r="D45">
        <v>550</v>
      </c>
      <c r="E45" s="4">
        <v>2</v>
      </c>
    </row>
    <row r="46" spans="1:6">
      <c r="A46" s="2">
        <v>46102</v>
      </c>
      <c r="B46" s="2" t="str">
        <f t="shared" si="1"/>
        <v>Saturday</v>
      </c>
      <c r="C46">
        <v>5</v>
      </c>
      <c r="D46">
        <v>620</v>
      </c>
      <c r="E46" s="4">
        <v>1.25</v>
      </c>
    </row>
    <row r="47" spans="1:6">
      <c r="A47" s="2">
        <v>46103</v>
      </c>
      <c r="B47" s="2" t="str">
        <f t="shared" si="1"/>
        <v>Sunday</v>
      </c>
      <c r="C47">
        <v>6</v>
      </c>
    </row>
    <row r="48" spans="1:6">
      <c r="A48" s="2">
        <v>46104</v>
      </c>
      <c r="B48" s="2" t="str">
        <f t="shared" si="1"/>
        <v>Monday</v>
      </c>
      <c r="C48">
        <v>7</v>
      </c>
    </row>
    <row r="49" spans="1:3">
      <c r="A49" s="2">
        <v>46105</v>
      </c>
      <c r="B49" s="2" t="str">
        <f t="shared" si="1"/>
        <v>Tuesday</v>
      </c>
      <c r="C49">
        <v>8</v>
      </c>
    </row>
    <row r="50" spans="1:3">
      <c r="A50" s="2">
        <v>46106</v>
      </c>
      <c r="B50" s="2" t="str">
        <f t="shared" si="1"/>
        <v>Wednesday</v>
      </c>
      <c r="C50">
        <v>9</v>
      </c>
    </row>
    <row r="51" spans="1:3">
      <c r="A51" s="2">
        <v>46107</v>
      </c>
      <c r="B51" s="2" t="str">
        <f t="shared" si="1"/>
        <v>Thursday</v>
      </c>
      <c r="C51">
        <v>10</v>
      </c>
    </row>
    <row r="52" spans="1:3">
      <c r="A52" s="2">
        <v>46108</v>
      </c>
      <c r="B52" s="2" t="str">
        <f t="shared" si="1"/>
        <v>Friday</v>
      </c>
      <c r="C52">
        <v>11</v>
      </c>
    </row>
    <row r="53" spans="1:3">
      <c r="A53" s="2">
        <v>46109</v>
      </c>
      <c r="B53" s="2" t="str">
        <f t="shared" si="1"/>
        <v>Saturday</v>
      </c>
      <c r="C53">
        <v>12</v>
      </c>
    </row>
    <row r="54" spans="1:3">
      <c r="A54" s="2">
        <v>46110</v>
      </c>
      <c r="B54" s="2" t="str">
        <f t="shared" si="1"/>
        <v>Sunday</v>
      </c>
      <c r="C54">
        <v>13</v>
      </c>
    </row>
    <row r="55" spans="1:3">
      <c r="A55" s="2">
        <v>46111</v>
      </c>
      <c r="B55" s="2" t="str">
        <f t="shared" si="1"/>
        <v>Monday</v>
      </c>
      <c r="C55">
        <v>14</v>
      </c>
    </row>
    <row r="56" spans="1:3">
      <c r="A56" s="2">
        <v>46112</v>
      </c>
      <c r="B56" s="2" t="str">
        <f t="shared" si="1"/>
        <v>Tuesday</v>
      </c>
    </row>
    <row r="57" spans="1:3">
      <c r="A57" s="2"/>
    </row>
    <row r="58" spans="1:3">
      <c r="A58" s="2"/>
    </row>
    <row r="59" spans="1:3">
      <c r="A59" s="2"/>
    </row>
    <row r="60" spans="1:3">
      <c r="A60" s="2"/>
    </row>
    <row r="61" spans="1:3">
      <c r="A61" s="2"/>
    </row>
    <row r="62" spans="1:3">
      <c r="A62" s="2"/>
    </row>
    <row r="63" spans="1:3">
      <c r="A63" s="2"/>
    </row>
    <row r="64" spans="1:3">
      <c r="A64" s="2"/>
    </row>
    <row r="65" spans="1:1">
      <c r="A65" s="2"/>
    </row>
    <row r="66" spans="1:1">
      <c r="A66" s="2"/>
    </row>
    <row r="67" spans="1:1">
      <c r="A67" s="2"/>
    </row>
    <row r="68" spans="1:1">
      <c r="A68" s="2"/>
    </row>
    <row r="69" spans="1:1">
      <c r="A69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F928-C70A-45A0-8DF6-536F883563C9}">
  <dimension ref="A1:AD32"/>
  <sheetViews>
    <sheetView topLeftCell="A7" zoomScale="190" zoomScaleNormal="190" workbookViewId="0">
      <selection activeCell="C11" sqref="C11"/>
    </sheetView>
  </sheetViews>
  <sheetFormatPr defaultRowHeight="15"/>
  <cols>
    <col min="1" max="3" width="16.7109375" style="14" customWidth="1"/>
    <col min="4" max="24" width="9.140625" style="14"/>
    <col min="25" max="25" width="3.85546875" style="14" customWidth="1"/>
    <col min="26" max="30" width="9.140625" style="14"/>
  </cols>
  <sheetData>
    <row r="1" spans="1:30" s="15" customFormat="1">
      <c r="A1" s="16" t="s">
        <v>66</v>
      </c>
      <c r="B1" s="16" t="s">
        <v>63</v>
      </c>
      <c r="C1" s="16" t="s">
        <v>65</v>
      </c>
      <c r="D1" s="6"/>
      <c r="E1" s="6">
        <v>1231</v>
      </c>
      <c r="F1" s="6">
        <f>E1+1</f>
        <v>1232</v>
      </c>
      <c r="G1" s="6">
        <v>1231</v>
      </c>
      <c r="H1" s="6">
        <v>1235</v>
      </c>
      <c r="I1" s="6">
        <v>1261</v>
      </c>
      <c r="J1" s="6">
        <f>I1+1</f>
        <v>1262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 spans="1:30" s="15" customFormat="1">
      <c r="A2" s="17" t="str">
        <f t="shared" ref="A2:A16" si="0">E1 &amp; "-" &amp; F1</f>
        <v>1231-1232</v>
      </c>
      <c r="B2" s="19" t="str">
        <f t="shared" ref="B2:B16" si="1">G1 &amp; "-" &amp; H1</f>
        <v>1231-1235</v>
      </c>
      <c r="C2" s="17" t="str">
        <f t="shared" ref="C2:C16" si="2">I1 &amp; "-" &amp; J1</f>
        <v>1261-1262</v>
      </c>
      <c r="D2" s="6"/>
      <c r="E2" s="6">
        <f>E1+2</f>
        <v>1233</v>
      </c>
      <c r="F2" s="6">
        <f t="shared" ref="F2:F14" si="3">E2+1</f>
        <v>1234</v>
      </c>
      <c r="G2" s="6">
        <f>G1+5</f>
        <v>1236</v>
      </c>
      <c r="H2" s="6">
        <f>H1+5</f>
        <v>1240</v>
      </c>
      <c r="I2" s="6">
        <f>I1+2</f>
        <v>1263</v>
      </c>
      <c r="J2" s="6">
        <f t="shared" ref="J2:J14" si="4">I2+1</f>
        <v>1264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 s="15" customFormat="1">
      <c r="A3" s="17" t="str">
        <f t="shared" si="0"/>
        <v>1233-1234</v>
      </c>
      <c r="B3" s="19" t="str">
        <f t="shared" si="1"/>
        <v>1236-1240</v>
      </c>
      <c r="C3" s="17" t="str">
        <f t="shared" si="2"/>
        <v>1263-1264</v>
      </c>
      <c r="D3" s="6"/>
      <c r="E3" s="6">
        <f t="shared" ref="E3:E15" si="5">E2+2</f>
        <v>1235</v>
      </c>
      <c r="F3" s="6">
        <f t="shared" si="3"/>
        <v>1236</v>
      </c>
      <c r="G3" s="6">
        <f t="shared" ref="G3:H15" si="6">G2+5</f>
        <v>1241</v>
      </c>
      <c r="H3" s="6">
        <f t="shared" si="6"/>
        <v>1245</v>
      </c>
      <c r="I3" s="6">
        <f t="shared" ref="I3:I15" si="7">I2+2</f>
        <v>1265</v>
      </c>
      <c r="J3" s="6">
        <f t="shared" si="4"/>
        <v>1266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 spans="1:30" s="15" customFormat="1">
      <c r="A4" s="17" t="str">
        <f t="shared" si="0"/>
        <v>1235-1236</v>
      </c>
      <c r="B4" s="19" t="str">
        <f t="shared" si="1"/>
        <v>1241-1245</v>
      </c>
      <c r="C4" s="17" t="str">
        <f t="shared" si="2"/>
        <v>1265-1266</v>
      </c>
      <c r="D4" s="6"/>
      <c r="E4" s="6">
        <f t="shared" si="5"/>
        <v>1237</v>
      </c>
      <c r="F4" s="6">
        <f t="shared" si="3"/>
        <v>1238</v>
      </c>
      <c r="G4" s="6">
        <f t="shared" si="6"/>
        <v>1246</v>
      </c>
      <c r="H4" s="6">
        <f t="shared" si="6"/>
        <v>1250</v>
      </c>
      <c r="I4" s="6">
        <f t="shared" si="7"/>
        <v>1267</v>
      </c>
      <c r="J4" s="6">
        <f t="shared" si="4"/>
        <v>1268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 spans="1:30" s="15" customFormat="1">
      <c r="A5" s="17" t="str">
        <f t="shared" si="0"/>
        <v>1237-1238</v>
      </c>
      <c r="B5" s="19" t="str">
        <f>G4 &amp; "-" &amp; H4</f>
        <v>1246-1250</v>
      </c>
      <c r="C5" s="17" t="str">
        <f t="shared" si="2"/>
        <v>1267-1268</v>
      </c>
      <c r="D5" s="6"/>
      <c r="E5" s="6">
        <f t="shared" si="5"/>
        <v>1239</v>
      </c>
      <c r="F5" s="6">
        <f t="shared" si="3"/>
        <v>1240</v>
      </c>
      <c r="G5" s="6">
        <f t="shared" si="6"/>
        <v>1251</v>
      </c>
      <c r="H5" s="6">
        <f t="shared" si="6"/>
        <v>1255</v>
      </c>
      <c r="I5" s="6">
        <f t="shared" si="7"/>
        <v>1269</v>
      </c>
      <c r="J5" s="6">
        <f t="shared" si="4"/>
        <v>1270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</row>
    <row r="6" spans="1:30" s="15" customFormat="1">
      <c r="A6" s="17" t="str">
        <f t="shared" si="0"/>
        <v>1239-1240</v>
      </c>
      <c r="B6" s="19" t="str">
        <f t="shared" si="1"/>
        <v>1251-1255</v>
      </c>
      <c r="C6" s="17" t="str">
        <f t="shared" si="2"/>
        <v>1269-1270</v>
      </c>
      <c r="D6" s="6"/>
      <c r="E6" s="6">
        <f t="shared" si="5"/>
        <v>1241</v>
      </c>
      <c r="F6" s="6">
        <f t="shared" si="3"/>
        <v>1242</v>
      </c>
      <c r="G6" s="6">
        <f t="shared" si="6"/>
        <v>1256</v>
      </c>
      <c r="H6" s="6">
        <f t="shared" si="6"/>
        <v>1260</v>
      </c>
      <c r="I6" s="6">
        <f t="shared" si="7"/>
        <v>1271</v>
      </c>
      <c r="J6" s="6">
        <f t="shared" si="4"/>
        <v>1272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</row>
    <row r="7" spans="1:30" s="15" customFormat="1">
      <c r="A7" s="17" t="str">
        <f t="shared" si="0"/>
        <v>1241-1242</v>
      </c>
      <c r="B7" s="19" t="str">
        <f t="shared" si="1"/>
        <v>1256-1260</v>
      </c>
      <c r="C7" s="17" t="str">
        <f t="shared" si="2"/>
        <v>1271-1272</v>
      </c>
      <c r="D7" s="6"/>
      <c r="E7" s="6">
        <f t="shared" si="5"/>
        <v>1243</v>
      </c>
      <c r="F7" s="6">
        <f t="shared" si="3"/>
        <v>1244</v>
      </c>
      <c r="G7" s="6">
        <f t="shared" si="6"/>
        <v>1261</v>
      </c>
      <c r="H7" s="6">
        <f t="shared" si="6"/>
        <v>1265</v>
      </c>
      <c r="I7" s="6">
        <f t="shared" si="7"/>
        <v>1273</v>
      </c>
      <c r="J7" s="6">
        <f t="shared" si="4"/>
        <v>1274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</row>
    <row r="8" spans="1:30" s="15" customFormat="1">
      <c r="A8" s="17" t="str">
        <f t="shared" si="0"/>
        <v>1243-1244</v>
      </c>
      <c r="B8" s="19" t="str">
        <f t="shared" si="1"/>
        <v>1261-1265</v>
      </c>
      <c r="C8" s="17" t="str">
        <f t="shared" si="2"/>
        <v>1273-1274</v>
      </c>
      <c r="D8" s="6"/>
      <c r="E8" s="6">
        <f t="shared" si="5"/>
        <v>1245</v>
      </c>
      <c r="F8" s="6">
        <f t="shared" si="3"/>
        <v>1246</v>
      </c>
      <c r="G8" s="6">
        <f t="shared" si="6"/>
        <v>1266</v>
      </c>
      <c r="H8" s="6">
        <f t="shared" si="6"/>
        <v>1270</v>
      </c>
      <c r="I8" s="6">
        <f t="shared" si="7"/>
        <v>1275</v>
      </c>
      <c r="J8" s="6">
        <f t="shared" si="4"/>
        <v>1276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</row>
    <row r="9" spans="1:30" s="15" customFormat="1">
      <c r="A9" s="18" t="str">
        <f t="shared" si="0"/>
        <v>1245-1246</v>
      </c>
      <c r="B9" s="19" t="str">
        <f t="shared" si="1"/>
        <v>1266-1270</v>
      </c>
      <c r="C9" s="17" t="str">
        <f t="shared" si="2"/>
        <v>1275-1276</v>
      </c>
      <c r="D9" s="6"/>
      <c r="E9" s="6">
        <f t="shared" si="5"/>
        <v>1247</v>
      </c>
      <c r="F9" s="6">
        <f t="shared" si="3"/>
        <v>1248</v>
      </c>
      <c r="G9" s="6">
        <f t="shared" si="6"/>
        <v>1271</v>
      </c>
      <c r="H9" s="6">
        <f t="shared" si="6"/>
        <v>1275</v>
      </c>
      <c r="I9" s="6">
        <f t="shared" si="7"/>
        <v>1277</v>
      </c>
      <c r="J9" s="6">
        <f t="shared" si="4"/>
        <v>1278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</row>
    <row r="10" spans="1:30" s="15" customFormat="1">
      <c r="A10" s="17" t="str">
        <f t="shared" si="0"/>
        <v>1247-1248</v>
      </c>
      <c r="B10" s="19" t="str">
        <f t="shared" si="1"/>
        <v>1271-1275</v>
      </c>
      <c r="C10" s="17" t="str">
        <f t="shared" si="2"/>
        <v>1277-1278</v>
      </c>
      <c r="D10" s="6"/>
      <c r="E10" s="6">
        <f t="shared" si="5"/>
        <v>1249</v>
      </c>
      <c r="F10" s="6">
        <f t="shared" si="3"/>
        <v>1250</v>
      </c>
      <c r="G10" s="6">
        <f t="shared" si="6"/>
        <v>1276</v>
      </c>
      <c r="H10" s="6">
        <f t="shared" si="6"/>
        <v>1280</v>
      </c>
      <c r="I10" s="6">
        <f t="shared" si="7"/>
        <v>1279</v>
      </c>
      <c r="J10" s="6">
        <f t="shared" si="4"/>
        <v>1280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 spans="1:30" s="15" customFormat="1">
      <c r="A11" s="17" t="str">
        <f t="shared" si="0"/>
        <v>1249-1250</v>
      </c>
      <c r="B11" s="19" t="str">
        <f t="shared" si="1"/>
        <v>1276-1280</v>
      </c>
      <c r="C11" s="17" t="str">
        <f t="shared" si="2"/>
        <v>1279-1280</v>
      </c>
      <c r="D11" s="6"/>
      <c r="E11" s="6">
        <f t="shared" si="5"/>
        <v>1251</v>
      </c>
      <c r="F11" s="6">
        <f t="shared" si="3"/>
        <v>1252</v>
      </c>
      <c r="G11" s="6">
        <f t="shared" si="6"/>
        <v>1281</v>
      </c>
      <c r="H11" s="6">
        <f t="shared" si="6"/>
        <v>1285</v>
      </c>
      <c r="I11" s="6">
        <f t="shared" si="7"/>
        <v>1281</v>
      </c>
      <c r="J11" s="6">
        <f t="shared" si="4"/>
        <v>1282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</row>
    <row r="12" spans="1:30" s="15" customFormat="1">
      <c r="A12" s="17" t="str">
        <f t="shared" si="0"/>
        <v>1251-1252</v>
      </c>
      <c r="B12" s="19" t="str">
        <f t="shared" si="1"/>
        <v>1281-1285</v>
      </c>
      <c r="C12" s="17" t="str">
        <f t="shared" si="2"/>
        <v>1281-1282</v>
      </c>
      <c r="D12" s="6"/>
      <c r="E12" s="6">
        <f t="shared" si="5"/>
        <v>1253</v>
      </c>
      <c r="F12" s="6">
        <f t="shared" si="3"/>
        <v>1254</v>
      </c>
      <c r="G12" s="6">
        <f t="shared" si="6"/>
        <v>1286</v>
      </c>
      <c r="H12" s="6">
        <f t="shared" si="6"/>
        <v>1290</v>
      </c>
      <c r="I12" s="6">
        <f t="shared" si="7"/>
        <v>1283</v>
      </c>
      <c r="J12" s="6">
        <f t="shared" si="4"/>
        <v>1284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1:30" s="15" customFormat="1">
      <c r="A13" s="17" t="str">
        <f t="shared" si="0"/>
        <v>1253-1254</v>
      </c>
      <c r="B13" s="19" t="str">
        <f t="shared" si="1"/>
        <v>1286-1290</v>
      </c>
      <c r="C13" s="17" t="str">
        <f t="shared" si="2"/>
        <v>1283-1284</v>
      </c>
      <c r="D13" s="6"/>
      <c r="E13" s="6">
        <f t="shared" si="5"/>
        <v>1255</v>
      </c>
      <c r="F13" s="6">
        <f t="shared" si="3"/>
        <v>1256</v>
      </c>
      <c r="G13" s="6">
        <f t="shared" si="6"/>
        <v>1291</v>
      </c>
      <c r="H13" s="6">
        <f t="shared" si="6"/>
        <v>1295</v>
      </c>
      <c r="I13" s="6">
        <f t="shared" si="7"/>
        <v>1285</v>
      </c>
      <c r="J13" s="6">
        <f t="shared" si="4"/>
        <v>1286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</row>
    <row r="14" spans="1:30" s="15" customFormat="1">
      <c r="A14" s="17" t="str">
        <f t="shared" si="0"/>
        <v>1255-1256</v>
      </c>
      <c r="B14" s="19" t="str">
        <f t="shared" si="1"/>
        <v>1291-1295</v>
      </c>
      <c r="C14" s="17" t="str">
        <f t="shared" si="2"/>
        <v>1285-1286</v>
      </c>
      <c r="D14" s="6"/>
      <c r="E14" s="6">
        <f t="shared" si="5"/>
        <v>1257</v>
      </c>
      <c r="F14" s="6">
        <f t="shared" si="3"/>
        <v>1258</v>
      </c>
      <c r="G14" s="6">
        <f t="shared" si="6"/>
        <v>1296</v>
      </c>
      <c r="H14" s="6">
        <f t="shared" si="6"/>
        <v>1300</v>
      </c>
      <c r="I14" s="6">
        <f t="shared" si="7"/>
        <v>1287</v>
      </c>
      <c r="J14" s="6">
        <f t="shared" si="4"/>
        <v>1288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 spans="1:30" s="15" customFormat="1">
      <c r="A15" s="17" t="str">
        <f t="shared" si="0"/>
        <v>1257-1258</v>
      </c>
      <c r="B15" s="19" t="str">
        <f t="shared" si="1"/>
        <v>1296-1300</v>
      </c>
      <c r="C15" s="17" t="str">
        <f t="shared" si="2"/>
        <v>1287-1288</v>
      </c>
      <c r="D15" s="6"/>
      <c r="E15" s="6">
        <f t="shared" si="5"/>
        <v>1259</v>
      </c>
      <c r="F15" s="6"/>
      <c r="G15" s="6">
        <f t="shared" si="6"/>
        <v>1301</v>
      </c>
      <c r="H15" s="6">
        <f t="shared" si="6"/>
        <v>1305</v>
      </c>
      <c r="I15" s="6">
        <f t="shared" si="7"/>
        <v>1289</v>
      </c>
      <c r="J15" s="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</row>
    <row r="16" spans="1:30" s="15" customFormat="1">
      <c r="A16" s="17" t="str">
        <f t="shared" si="0"/>
        <v>1259-</v>
      </c>
      <c r="B16" s="19" t="str">
        <f t="shared" si="1"/>
        <v>1301-1305</v>
      </c>
      <c r="C16" s="17" t="str">
        <f t="shared" si="2"/>
        <v>1289-</v>
      </c>
      <c r="D16" s="6"/>
      <c r="E16" s="6"/>
      <c r="F16" s="6"/>
      <c r="G16" s="6"/>
      <c r="H16" s="6"/>
      <c r="I16" s="6"/>
      <c r="J16" s="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s="15" customForma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s="15" customForma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s="15" customForma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s="15" customForma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s="15" customForma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s="15" customForma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s="15" customForma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s="15" customForma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s="15" customForma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s="15" customForma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s="15" customForma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s="15" customForma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s="15" customForma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s="15" customForma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s="15" customForma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s="15" customForma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54E6-0955-486B-B933-95D8F3FB77DF}">
  <dimension ref="A1:D17"/>
  <sheetViews>
    <sheetView zoomScale="85" zoomScaleNormal="85" workbookViewId="0">
      <selection activeCell="G18" sqref="G18"/>
    </sheetView>
  </sheetViews>
  <sheetFormatPr defaultRowHeight="15"/>
  <cols>
    <col min="1" max="1" width="16" customWidth="1"/>
    <col min="2" max="2" width="20.42578125" customWidth="1"/>
    <col min="3" max="3" width="16" customWidth="1"/>
    <col min="4" max="4" width="51.42578125" customWidth="1"/>
  </cols>
  <sheetData>
    <row r="1" spans="1:4" ht="26.25" customHeight="1" thickBot="1">
      <c r="A1" s="12" t="s">
        <v>67</v>
      </c>
      <c r="B1" s="12" t="s">
        <v>68</v>
      </c>
      <c r="C1" s="12" t="s">
        <v>69</v>
      </c>
      <c r="D1" s="12" t="s">
        <v>70</v>
      </c>
    </row>
    <row r="2" spans="1:4" ht="26.25" customHeight="1" thickBot="1">
      <c r="A2" s="12" t="s">
        <v>71</v>
      </c>
      <c r="B2" s="20" t="s">
        <v>72</v>
      </c>
      <c r="C2" s="13" t="s">
        <v>73</v>
      </c>
      <c r="D2" s="13" t="s">
        <v>74</v>
      </c>
    </row>
    <row r="3" spans="1:4" ht="26.25" customHeight="1" thickBot="1">
      <c r="A3" s="12" t="s">
        <v>71</v>
      </c>
      <c r="B3" s="20" t="s">
        <v>75</v>
      </c>
      <c r="C3" s="13" t="s">
        <v>76</v>
      </c>
      <c r="D3" s="13" t="s">
        <v>77</v>
      </c>
    </row>
    <row r="4" spans="1:4" ht="26.25" customHeight="1" thickBot="1">
      <c r="A4" s="12" t="s">
        <v>78</v>
      </c>
      <c r="B4" s="20" t="s">
        <v>79</v>
      </c>
      <c r="C4" s="13" t="s">
        <v>80</v>
      </c>
      <c r="D4" s="13" t="s">
        <v>81</v>
      </c>
    </row>
    <row r="5" spans="1:4" ht="26.25" customHeight="1" thickBot="1">
      <c r="A5" s="12" t="s">
        <v>78</v>
      </c>
      <c r="B5" s="20" t="s">
        <v>82</v>
      </c>
      <c r="C5" s="13" t="s">
        <v>83</v>
      </c>
      <c r="D5" s="13" t="s">
        <v>84</v>
      </c>
    </row>
    <row r="6" spans="1:4" ht="26.25" customHeight="1" thickBot="1">
      <c r="A6" s="12" t="s">
        <v>85</v>
      </c>
      <c r="B6" s="20" t="s">
        <v>86</v>
      </c>
      <c r="C6" s="13" t="s">
        <v>87</v>
      </c>
      <c r="D6" s="13" t="s">
        <v>88</v>
      </c>
    </row>
    <row r="7" spans="1:4" ht="26.25" customHeight="1" thickBot="1">
      <c r="A7" s="12" t="s">
        <v>85</v>
      </c>
      <c r="B7" s="20" t="s">
        <v>89</v>
      </c>
      <c r="C7" s="13" t="s">
        <v>90</v>
      </c>
      <c r="D7" s="13" t="s">
        <v>91</v>
      </c>
    </row>
    <row r="8" spans="1:4" ht="26.25" customHeight="1" thickBot="1">
      <c r="A8" s="12" t="s">
        <v>85</v>
      </c>
      <c r="B8" s="20" t="s">
        <v>92</v>
      </c>
      <c r="C8" s="13" t="s">
        <v>93</v>
      </c>
      <c r="D8" s="13" t="s">
        <v>94</v>
      </c>
    </row>
    <row r="9" spans="1:4" ht="26.25" customHeight="1" thickBot="1">
      <c r="A9" s="12" t="s">
        <v>85</v>
      </c>
      <c r="B9" s="20" t="s">
        <v>95</v>
      </c>
      <c r="C9" s="13" t="s">
        <v>96</v>
      </c>
      <c r="D9" s="13" t="s">
        <v>97</v>
      </c>
    </row>
    <row r="10" spans="1:4" ht="26.25" customHeight="1" thickBot="1">
      <c r="A10" s="12" t="s">
        <v>85</v>
      </c>
      <c r="B10" s="20" t="s">
        <v>98</v>
      </c>
      <c r="C10" s="13" t="s">
        <v>99</v>
      </c>
      <c r="D10" s="13" t="s">
        <v>100</v>
      </c>
    </row>
    <row r="11" spans="1:4" ht="26.25" customHeight="1" thickBot="1">
      <c r="A11" s="12" t="s">
        <v>85</v>
      </c>
      <c r="B11" s="20" t="s">
        <v>101</v>
      </c>
      <c r="C11" s="13" t="s">
        <v>102</v>
      </c>
      <c r="D11" s="13" t="s">
        <v>103</v>
      </c>
    </row>
    <row r="12" spans="1:4" ht="26.25" customHeight="1" thickBot="1">
      <c r="A12" s="12" t="s">
        <v>104</v>
      </c>
      <c r="B12" s="20" t="s">
        <v>86</v>
      </c>
      <c r="C12" s="13" t="s">
        <v>105</v>
      </c>
      <c r="D12" s="13" t="s">
        <v>106</v>
      </c>
    </row>
    <row r="13" spans="1:4" ht="26.25" customHeight="1" thickBot="1">
      <c r="A13" s="12" t="s">
        <v>104</v>
      </c>
      <c r="B13" s="20" t="s">
        <v>89</v>
      </c>
      <c r="C13" s="13" t="s">
        <v>107</v>
      </c>
      <c r="D13" s="13" t="s">
        <v>108</v>
      </c>
    </row>
    <row r="14" spans="1:4" ht="15.75" thickBot="1">
      <c r="A14" s="12" t="s">
        <v>71</v>
      </c>
      <c r="B14" s="20" t="s">
        <v>75</v>
      </c>
      <c r="C14" s="13" t="s">
        <v>76</v>
      </c>
      <c r="D14" s="13" t="s">
        <v>176</v>
      </c>
    </row>
    <row r="15" spans="1:4" ht="29.25" thickBot="1">
      <c r="A15" s="12" t="s">
        <v>177</v>
      </c>
      <c r="B15" s="20" t="s">
        <v>178</v>
      </c>
      <c r="C15" s="13" t="s">
        <v>179</v>
      </c>
      <c r="D15" s="13" t="s">
        <v>180</v>
      </c>
    </row>
    <row r="16" spans="1:4" ht="15.75" thickBot="1">
      <c r="A16" s="12" t="s">
        <v>181</v>
      </c>
      <c r="B16" s="20" t="s">
        <v>182</v>
      </c>
      <c r="C16" s="13" t="s">
        <v>183</v>
      </c>
      <c r="D16" s="13" t="s">
        <v>184</v>
      </c>
    </row>
    <row r="17" spans="1:4" ht="15.75" thickBot="1">
      <c r="A17" s="12" t="s">
        <v>185</v>
      </c>
      <c r="B17" s="20" t="s">
        <v>186</v>
      </c>
      <c r="C17" s="13" t="s">
        <v>80</v>
      </c>
      <c r="D17" s="13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2FBF6-AE0D-46CE-BAF7-9DB0BB6D6950}">
  <dimension ref="A1:AQ28"/>
  <sheetViews>
    <sheetView tabSelected="1" topLeftCell="A11" zoomScale="190" zoomScaleNormal="190" workbookViewId="0">
      <selection activeCell="G26" sqref="G26"/>
    </sheetView>
  </sheetViews>
  <sheetFormatPr defaultRowHeight="15"/>
  <cols>
    <col min="1" max="1" width="12.42578125" customWidth="1"/>
    <col min="2" max="2" width="14.28515625" customWidth="1"/>
    <col min="3" max="3" width="7.85546875" customWidth="1"/>
    <col min="4" max="4" width="9.28515625" customWidth="1"/>
    <col min="5" max="6" width="14.28515625" customWidth="1"/>
    <col min="7" max="7" width="25.5703125" customWidth="1"/>
    <col min="8" max="8" width="25.5703125" style="39" customWidth="1"/>
    <col min="9" max="11" width="20.7109375" style="17" customWidth="1"/>
    <col min="12" max="16" width="9.140625" style="6"/>
    <col min="17" max="17" width="9.140625" style="6" customWidth="1"/>
    <col min="18" max="18" width="9.140625" style="6"/>
    <col min="19" max="43" width="9.140625" style="5"/>
  </cols>
  <sheetData>
    <row r="1" spans="1:18">
      <c r="A1" s="7" t="s">
        <v>0</v>
      </c>
      <c r="B1" s="8" t="s">
        <v>5</v>
      </c>
      <c r="C1" s="9" t="s">
        <v>9</v>
      </c>
      <c r="D1" s="9" t="s">
        <v>1</v>
      </c>
      <c r="E1" s="10" t="s">
        <v>11</v>
      </c>
      <c r="F1" s="11" t="s">
        <v>13</v>
      </c>
      <c r="G1" s="11" t="s">
        <v>12</v>
      </c>
      <c r="H1" s="34" t="s">
        <v>62</v>
      </c>
      <c r="I1" s="16" t="s">
        <v>7</v>
      </c>
      <c r="J1" s="16" t="s">
        <v>64</v>
      </c>
      <c r="K1" s="16" t="s">
        <v>110</v>
      </c>
      <c r="M1" s="6">
        <v>1231</v>
      </c>
      <c r="N1" s="6">
        <f>M1+1</f>
        <v>1232</v>
      </c>
      <c r="O1" s="6">
        <v>1231</v>
      </c>
      <c r="P1" s="6">
        <v>1235</v>
      </c>
      <c r="Q1" s="6">
        <v>1261</v>
      </c>
      <c r="R1" s="6">
        <f>Q1+1</f>
        <v>1262</v>
      </c>
    </row>
    <row r="2" spans="1:18">
      <c r="A2" s="22">
        <v>46070</v>
      </c>
      <c r="B2" s="23" t="str">
        <f>TEXT(A2,"dddd")</f>
        <v>Tuesday</v>
      </c>
      <c r="C2" s="24">
        <v>1</v>
      </c>
      <c r="D2" s="25">
        <v>160</v>
      </c>
      <c r="E2" s="26">
        <v>90</v>
      </c>
      <c r="F2" s="21">
        <v>160</v>
      </c>
      <c r="G2" s="21"/>
      <c r="H2" s="35"/>
      <c r="I2" s="27"/>
      <c r="J2" s="28"/>
      <c r="K2" s="27"/>
      <c r="M2" s="6">
        <f>M1+2</f>
        <v>1233</v>
      </c>
      <c r="N2" s="6">
        <f t="shared" ref="N2:N14" si="0">M2+1</f>
        <v>1234</v>
      </c>
      <c r="O2" s="6">
        <f>O1+5</f>
        <v>1236</v>
      </c>
      <c r="P2" s="6">
        <f>P1+5</f>
        <v>1240</v>
      </c>
      <c r="Q2" s="6">
        <f>Q1+2</f>
        <v>1263</v>
      </c>
      <c r="R2" s="6">
        <f t="shared" ref="R2:R14" si="1">Q2+1</f>
        <v>1264</v>
      </c>
    </row>
    <row r="3" spans="1:18">
      <c r="A3" s="22">
        <v>46071</v>
      </c>
      <c r="B3" s="23" t="str">
        <f t="shared" ref="B3:B16" si="2">TEXT(A3,"dddd")</f>
        <v>Wednesday</v>
      </c>
      <c r="C3" s="29">
        <v>2</v>
      </c>
      <c r="D3" s="30">
        <v>350</v>
      </c>
      <c r="E3" s="26">
        <v>150</v>
      </c>
      <c r="F3" s="21">
        <f>D3-D2</f>
        <v>190</v>
      </c>
      <c r="G3" s="21"/>
      <c r="H3" s="35"/>
      <c r="I3" s="27"/>
      <c r="J3" s="28"/>
      <c r="K3" s="27"/>
      <c r="M3" s="6">
        <f t="shared" ref="M3:M15" si="3">M2+2</f>
        <v>1235</v>
      </c>
      <c r="N3" s="6">
        <f t="shared" si="0"/>
        <v>1236</v>
      </c>
      <c r="O3" s="6">
        <f t="shared" ref="O3:O15" si="4">O2+5</f>
        <v>1241</v>
      </c>
      <c r="P3" s="6">
        <f t="shared" ref="P3:P15" si="5">P2+5</f>
        <v>1245</v>
      </c>
      <c r="Q3" s="6">
        <f t="shared" ref="Q3:Q15" si="6">Q2+2</f>
        <v>1265</v>
      </c>
      <c r="R3" s="6">
        <f t="shared" si="1"/>
        <v>1266</v>
      </c>
    </row>
    <row r="4" spans="1:18">
      <c r="A4" s="22">
        <v>46072</v>
      </c>
      <c r="B4" s="23" t="str">
        <f t="shared" si="2"/>
        <v>Thursday</v>
      </c>
      <c r="C4" s="24">
        <v>3</v>
      </c>
      <c r="D4" s="25">
        <v>440</v>
      </c>
      <c r="E4" s="26">
        <v>72</v>
      </c>
      <c r="F4" s="21">
        <f t="shared" ref="F4:F16" si="7">D4-D3</f>
        <v>90</v>
      </c>
      <c r="G4" s="21"/>
      <c r="H4" s="35"/>
      <c r="I4" s="27"/>
      <c r="J4" s="28"/>
      <c r="K4" s="27"/>
      <c r="M4" s="6">
        <f t="shared" si="3"/>
        <v>1237</v>
      </c>
      <c r="N4" s="6">
        <f t="shared" si="0"/>
        <v>1238</v>
      </c>
      <c r="O4" s="6">
        <f t="shared" si="4"/>
        <v>1246</v>
      </c>
      <c r="P4" s="6">
        <f t="shared" si="5"/>
        <v>1250</v>
      </c>
      <c r="Q4" s="6">
        <f t="shared" si="6"/>
        <v>1267</v>
      </c>
      <c r="R4" s="6">
        <f t="shared" si="1"/>
        <v>1268</v>
      </c>
    </row>
    <row r="5" spans="1:18">
      <c r="A5" s="22">
        <v>46073</v>
      </c>
      <c r="B5" s="23" t="str">
        <f t="shared" si="2"/>
        <v>Friday</v>
      </c>
      <c r="C5" s="29">
        <v>4</v>
      </c>
      <c r="D5" s="30">
        <v>550</v>
      </c>
      <c r="E5" s="26">
        <v>120</v>
      </c>
      <c r="F5" s="21">
        <f t="shared" si="7"/>
        <v>110</v>
      </c>
      <c r="G5" s="21"/>
      <c r="H5" s="35"/>
      <c r="I5" s="27"/>
      <c r="J5" s="28"/>
      <c r="K5" s="27"/>
      <c r="M5" s="6">
        <f t="shared" si="3"/>
        <v>1239</v>
      </c>
      <c r="N5" s="6">
        <f t="shared" si="0"/>
        <v>1240</v>
      </c>
      <c r="O5" s="6">
        <f t="shared" si="4"/>
        <v>1251</v>
      </c>
      <c r="P5" s="6">
        <f t="shared" si="5"/>
        <v>1255</v>
      </c>
      <c r="Q5" s="6">
        <f t="shared" si="6"/>
        <v>1269</v>
      </c>
      <c r="R5" s="6">
        <f t="shared" si="1"/>
        <v>1270</v>
      </c>
    </row>
    <row r="6" spans="1:18">
      <c r="A6" s="22">
        <v>46074</v>
      </c>
      <c r="B6" s="23" t="str">
        <f t="shared" si="2"/>
        <v>Saturday</v>
      </c>
      <c r="C6" s="24">
        <v>5</v>
      </c>
      <c r="D6" s="25">
        <v>700</v>
      </c>
      <c r="E6" s="26">
        <v>156</v>
      </c>
      <c r="F6" s="21">
        <f t="shared" si="7"/>
        <v>150</v>
      </c>
      <c r="G6" s="21"/>
      <c r="H6" s="35"/>
      <c r="I6" s="27"/>
      <c r="J6" s="28"/>
      <c r="K6" s="27"/>
      <c r="M6" s="6">
        <f t="shared" si="3"/>
        <v>1241</v>
      </c>
      <c r="N6" s="6">
        <f t="shared" si="0"/>
        <v>1242</v>
      </c>
      <c r="O6" s="6">
        <f t="shared" si="4"/>
        <v>1256</v>
      </c>
      <c r="P6" s="6">
        <f t="shared" si="5"/>
        <v>1260</v>
      </c>
      <c r="Q6" s="6">
        <f t="shared" si="6"/>
        <v>1271</v>
      </c>
      <c r="R6" s="6">
        <f t="shared" si="1"/>
        <v>1272</v>
      </c>
    </row>
    <row r="7" spans="1:18">
      <c r="A7" s="22">
        <v>46075</v>
      </c>
      <c r="B7" s="23" t="str">
        <f t="shared" si="2"/>
        <v>Sunday</v>
      </c>
      <c r="C7" s="29">
        <v>6</v>
      </c>
      <c r="D7" s="30">
        <v>765</v>
      </c>
      <c r="E7" s="26">
        <v>120</v>
      </c>
      <c r="F7" s="21">
        <f t="shared" si="7"/>
        <v>65</v>
      </c>
      <c r="G7" s="21"/>
      <c r="H7" s="36" t="s">
        <v>10</v>
      </c>
      <c r="I7" s="27"/>
      <c r="J7" s="28"/>
      <c r="K7" s="27"/>
      <c r="M7" s="6">
        <f t="shared" si="3"/>
        <v>1243</v>
      </c>
      <c r="N7" s="6">
        <f t="shared" si="0"/>
        <v>1244</v>
      </c>
      <c r="O7" s="6">
        <f t="shared" si="4"/>
        <v>1261</v>
      </c>
      <c r="P7" s="6">
        <f t="shared" si="5"/>
        <v>1265</v>
      </c>
      <c r="Q7" s="6">
        <f t="shared" si="6"/>
        <v>1273</v>
      </c>
      <c r="R7" s="6">
        <f t="shared" si="1"/>
        <v>1274</v>
      </c>
    </row>
    <row r="8" spans="1:18">
      <c r="A8" s="22">
        <v>46076</v>
      </c>
      <c r="B8" s="23" t="str">
        <f t="shared" si="2"/>
        <v>Monday</v>
      </c>
      <c r="C8" s="24">
        <v>7</v>
      </c>
      <c r="D8" s="25">
        <v>900</v>
      </c>
      <c r="E8" s="26">
        <v>140</v>
      </c>
      <c r="F8" s="21">
        <f t="shared" si="7"/>
        <v>135</v>
      </c>
      <c r="G8" s="21"/>
      <c r="H8" s="37"/>
      <c r="I8" s="27"/>
      <c r="J8" s="28"/>
      <c r="K8" s="27"/>
      <c r="M8" s="6">
        <f t="shared" si="3"/>
        <v>1245</v>
      </c>
      <c r="N8" s="6">
        <f t="shared" si="0"/>
        <v>1246</v>
      </c>
      <c r="O8" s="6">
        <f t="shared" si="4"/>
        <v>1266</v>
      </c>
      <c r="P8" s="6">
        <f t="shared" si="5"/>
        <v>1270</v>
      </c>
      <c r="Q8" s="6">
        <f t="shared" si="6"/>
        <v>1275</v>
      </c>
      <c r="R8" s="6">
        <f t="shared" si="1"/>
        <v>1276</v>
      </c>
    </row>
    <row r="9" spans="1:18" ht="31.5" customHeight="1">
      <c r="A9" s="22">
        <v>46077</v>
      </c>
      <c r="B9" s="23" t="str">
        <f t="shared" si="2"/>
        <v>Tuesday</v>
      </c>
      <c r="C9" s="29">
        <v>8</v>
      </c>
      <c r="D9" s="30">
        <v>940</v>
      </c>
      <c r="E9" s="26">
        <v>38</v>
      </c>
      <c r="F9" s="21">
        <f t="shared" si="7"/>
        <v>40</v>
      </c>
      <c r="G9" s="21"/>
      <c r="H9" s="38" t="s">
        <v>14</v>
      </c>
      <c r="I9" s="18"/>
      <c r="J9" s="28"/>
      <c r="K9" s="27"/>
      <c r="M9" s="6">
        <f t="shared" si="3"/>
        <v>1247</v>
      </c>
      <c r="N9" s="6">
        <f t="shared" si="0"/>
        <v>1248</v>
      </c>
      <c r="O9" s="6">
        <f t="shared" si="4"/>
        <v>1271</v>
      </c>
      <c r="P9" s="6">
        <f t="shared" si="5"/>
        <v>1275</v>
      </c>
      <c r="Q9" s="6">
        <f t="shared" si="6"/>
        <v>1277</v>
      </c>
      <c r="R9" s="6">
        <f t="shared" si="1"/>
        <v>1278</v>
      </c>
    </row>
    <row r="10" spans="1:18">
      <c r="A10" s="22">
        <v>46078</v>
      </c>
      <c r="B10" s="23" t="str">
        <f t="shared" si="2"/>
        <v>Wednesday</v>
      </c>
      <c r="C10" s="24">
        <v>9</v>
      </c>
      <c r="D10" s="25">
        <v>1045</v>
      </c>
      <c r="E10" s="26">
        <f>112+38</f>
        <v>150</v>
      </c>
      <c r="F10" s="21">
        <f t="shared" si="7"/>
        <v>105</v>
      </c>
      <c r="G10" s="21"/>
      <c r="H10" s="35"/>
      <c r="I10" s="27"/>
      <c r="J10" s="28"/>
      <c r="K10" s="27"/>
      <c r="M10" s="6">
        <f t="shared" si="3"/>
        <v>1249</v>
      </c>
      <c r="N10" s="6">
        <f t="shared" si="0"/>
        <v>1250</v>
      </c>
      <c r="O10" s="6">
        <f t="shared" si="4"/>
        <v>1276</v>
      </c>
      <c r="P10" s="6">
        <f t="shared" si="5"/>
        <v>1280</v>
      </c>
      <c r="Q10" s="6">
        <f t="shared" si="6"/>
        <v>1279</v>
      </c>
      <c r="R10" s="6">
        <f t="shared" si="1"/>
        <v>1280</v>
      </c>
    </row>
    <row r="11" spans="1:18">
      <c r="A11" s="22">
        <v>46079</v>
      </c>
      <c r="B11" s="23" t="str">
        <f t="shared" si="2"/>
        <v>Thursday</v>
      </c>
      <c r="C11" s="29">
        <v>10</v>
      </c>
      <c r="D11" s="30">
        <v>1250</v>
      </c>
      <c r="E11" s="26">
        <f>36.8+164</f>
        <v>200.8</v>
      </c>
      <c r="F11" s="21">
        <f t="shared" si="7"/>
        <v>205</v>
      </c>
      <c r="G11" s="21"/>
      <c r="H11" s="35"/>
      <c r="I11" s="27"/>
      <c r="J11" s="28"/>
      <c r="K11" s="27"/>
      <c r="M11" s="6">
        <f t="shared" si="3"/>
        <v>1251</v>
      </c>
      <c r="N11" s="6">
        <f t="shared" si="0"/>
        <v>1252</v>
      </c>
      <c r="O11" s="6">
        <f t="shared" si="4"/>
        <v>1281</v>
      </c>
      <c r="P11" s="6">
        <f t="shared" si="5"/>
        <v>1285</v>
      </c>
      <c r="Q11" s="6">
        <f t="shared" si="6"/>
        <v>1281</v>
      </c>
      <c r="R11" s="6">
        <f t="shared" si="1"/>
        <v>1282</v>
      </c>
    </row>
    <row r="12" spans="1:18">
      <c r="A12" s="22">
        <v>46080</v>
      </c>
      <c r="B12" s="23" t="str">
        <f t="shared" si="2"/>
        <v>Friday</v>
      </c>
      <c r="C12" s="24">
        <v>11</v>
      </c>
      <c r="D12" s="25">
        <v>1350</v>
      </c>
      <c r="E12" s="26">
        <f>13+180+7</f>
        <v>200</v>
      </c>
      <c r="F12" s="21">
        <f t="shared" si="7"/>
        <v>100</v>
      </c>
      <c r="G12" s="21"/>
      <c r="H12" s="35"/>
      <c r="I12" s="27"/>
      <c r="J12" s="28"/>
      <c r="K12" s="27"/>
      <c r="M12" s="6">
        <f t="shared" si="3"/>
        <v>1253</v>
      </c>
      <c r="N12" s="6">
        <f t="shared" si="0"/>
        <v>1254</v>
      </c>
      <c r="O12" s="6">
        <f t="shared" si="4"/>
        <v>1286</v>
      </c>
      <c r="P12" s="6">
        <f t="shared" si="5"/>
        <v>1290</v>
      </c>
      <c r="Q12" s="6">
        <f t="shared" si="6"/>
        <v>1283</v>
      </c>
      <c r="R12" s="6">
        <f t="shared" si="1"/>
        <v>1284</v>
      </c>
    </row>
    <row r="13" spans="1:18" ht="27">
      <c r="A13" s="22">
        <v>46081</v>
      </c>
      <c r="B13" s="23" t="str">
        <f t="shared" si="2"/>
        <v>Saturday</v>
      </c>
      <c r="C13" s="29">
        <v>12</v>
      </c>
      <c r="D13" s="30">
        <v>1362</v>
      </c>
      <c r="E13" s="26">
        <v>27</v>
      </c>
      <c r="F13" s="21">
        <f t="shared" si="7"/>
        <v>12</v>
      </c>
      <c r="G13" s="21"/>
      <c r="H13" s="35" t="s">
        <v>109</v>
      </c>
      <c r="I13" s="27"/>
      <c r="J13" s="28"/>
      <c r="K13" s="27"/>
      <c r="M13" s="6">
        <f t="shared" si="3"/>
        <v>1255</v>
      </c>
      <c r="N13" s="6">
        <f t="shared" si="0"/>
        <v>1256</v>
      </c>
      <c r="O13" s="6">
        <f t="shared" si="4"/>
        <v>1291</v>
      </c>
      <c r="P13" s="6">
        <f t="shared" si="5"/>
        <v>1295</v>
      </c>
      <c r="Q13" s="6">
        <f t="shared" si="6"/>
        <v>1285</v>
      </c>
      <c r="R13" s="6">
        <f t="shared" si="1"/>
        <v>1286</v>
      </c>
    </row>
    <row r="14" spans="1:18">
      <c r="A14" s="22">
        <v>46082</v>
      </c>
      <c r="B14" s="23" t="str">
        <f t="shared" si="2"/>
        <v>Sunday</v>
      </c>
      <c r="C14" s="24">
        <v>13</v>
      </c>
      <c r="D14" s="25">
        <v>1364</v>
      </c>
      <c r="E14" s="26">
        <v>1</v>
      </c>
      <c r="F14" s="21">
        <f t="shared" si="7"/>
        <v>2</v>
      </c>
      <c r="G14" s="21"/>
      <c r="H14" s="35" t="s">
        <v>113</v>
      </c>
      <c r="I14" s="27"/>
      <c r="J14" s="28"/>
      <c r="K14" s="27"/>
      <c r="M14" s="6">
        <f t="shared" si="3"/>
        <v>1257</v>
      </c>
      <c r="N14" s="6">
        <f t="shared" si="0"/>
        <v>1258</v>
      </c>
      <c r="O14" s="6">
        <f t="shared" si="4"/>
        <v>1296</v>
      </c>
      <c r="P14" s="6">
        <f t="shared" si="5"/>
        <v>1300</v>
      </c>
      <c r="Q14" s="6">
        <f t="shared" si="6"/>
        <v>1287</v>
      </c>
      <c r="R14" s="6">
        <f t="shared" si="1"/>
        <v>1288</v>
      </c>
    </row>
    <row r="15" spans="1:18">
      <c r="A15" s="22">
        <v>46083</v>
      </c>
      <c r="B15" s="23" t="str">
        <f t="shared" si="2"/>
        <v>Monday</v>
      </c>
      <c r="C15" s="29">
        <v>14</v>
      </c>
      <c r="D15" s="30">
        <v>1400</v>
      </c>
      <c r="E15" s="26">
        <v>39</v>
      </c>
      <c r="F15" s="21">
        <f t="shared" si="7"/>
        <v>36</v>
      </c>
      <c r="G15" s="21"/>
      <c r="H15" s="35"/>
      <c r="I15" s="27"/>
      <c r="J15" s="28"/>
      <c r="K15" s="27"/>
      <c r="M15" s="6">
        <f t="shared" si="3"/>
        <v>1259</v>
      </c>
      <c r="O15" s="6">
        <f t="shared" si="4"/>
        <v>1301</v>
      </c>
      <c r="P15" s="6">
        <f t="shared" si="5"/>
        <v>1305</v>
      </c>
      <c r="Q15" s="6">
        <f t="shared" si="6"/>
        <v>1289</v>
      </c>
    </row>
    <row r="16" spans="1:18">
      <c r="A16" s="22">
        <v>46084</v>
      </c>
      <c r="B16" s="23" t="str">
        <f t="shared" si="2"/>
        <v>Tuesday</v>
      </c>
      <c r="C16" s="31">
        <v>15</v>
      </c>
      <c r="D16" s="32">
        <v>1422</v>
      </c>
      <c r="E16" s="33">
        <v>46</v>
      </c>
      <c r="F16" s="21">
        <f t="shared" si="7"/>
        <v>22</v>
      </c>
      <c r="G16" s="21"/>
      <c r="H16" s="35" t="s">
        <v>112</v>
      </c>
      <c r="I16" s="27"/>
      <c r="J16" s="28"/>
      <c r="K16" s="27"/>
    </row>
    <row r="17" spans="1:11">
      <c r="A17" s="22">
        <v>46085</v>
      </c>
      <c r="B17" s="23" t="str">
        <f t="shared" ref="B17:B28" si="8">TEXT(A17,"dddd")</f>
        <v>Wednesday</v>
      </c>
      <c r="C17" s="31">
        <v>16</v>
      </c>
      <c r="D17" s="32">
        <v>1452</v>
      </c>
      <c r="E17" s="33">
        <v>57</v>
      </c>
      <c r="F17" s="21">
        <f t="shared" ref="F17:F23" si="9">D17-D16</f>
        <v>30</v>
      </c>
      <c r="G17" s="21"/>
      <c r="H17" s="35" t="s">
        <v>111</v>
      </c>
      <c r="I17" s="27"/>
      <c r="J17" s="28"/>
      <c r="K17" s="27"/>
    </row>
    <row r="18" spans="1:11">
      <c r="A18" s="22">
        <v>46086</v>
      </c>
      <c r="B18" s="23" t="str">
        <f t="shared" si="8"/>
        <v>Thursday</v>
      </c>
      <c r="C18" s="31">
        <v>17</v>
      </c>
      <c r="D18" s="32">
        <v>1556</v>
      </c>
      <c r="E18" s="33">
        <v>119</v>
      </c>
      <c r="F18" s="21">
        <f t="shared" si="9"/>
        <v>104</v>
      </c>
      <c r="G18" s="21"/>
      <c r="H18" s="35"/>
      <c r="I18" s="27"/>
      <c r="J18" s="28"/>
      <c r="K18" s="27"/>
    </row>
    <row r="19" spans="1:11">
      <c r="A19" s="22">
        <v>46087</v>
      </c>
      <c r="B19" s="23" t="str">
        <f t="shared" si="8"/>
        <v>Friday</v>
      </c>
      <c r="C19" s="31">
        <v>18</v>
      </c>
      <c r="D19" s="32">
        <v>1600</v>
      </c>
      <c r="E19" s="33">
        <v>68</v>
      </c>
      <c r="F19" s="21">
        <f t="shared" si="9"/>
        <v>44</v>
      </c>
      <c r="G19" s="21"/>
      <c r="H19" s="35"/>
      <c r="I19" s="27"/>
      <c r="J19" s="28"/>
      <c r="K19" s="27"/>
    </row>
    <row r="20" spans="1:11">
      <c r="A20" s="22">
        <v>46088</v>
      </c>
      <c r="B20" s="23" t="str">
        <f t="shared" si="8"/>
        <v>Saturday</v>
      </c>
      <c r="C20" s="31">
        <v>19</v>
      </c>
      <c r="D20" s="32">
        <v>1660</v>
      </c>
      <c r="E20" s="33">
        <v>55</v>
      </c>
      <c r="F20" s="21">
        <f t="shared" si="9"/>
        <v>60</v>
      </c>
      <c r="G20" s="21"/>
      <c r="H20" s="35"/>
      <c r="I20" s="27"/>
      <c r="J20" s="28"/>
      <c r="K20" s="27"/>
    </row>
    <row r="21" spans="1:11">
      <c r="A21" s="22">
        <v>46089</v>
      </c>
      <c r="B21" s="23" t="str">
        <f t="shared" si="8"/>
        <v>Sunday</v>
      </c>
      <c r="C21" s="31">
        <v>20</v>
      </c>
      <c r="D21" s="32">
        <v>1700</v>
      </c>
      <c r="E21" s="33">
        <v>46</v>
      </c>
      <c r="F21" s="21">
        <f t="shared" si="9"/>
        <v>40</v>
      </c>
      <c r="G21" s="21"/>
      <c r="H21" s="35"/>
      <c r="I21" s="27"/>
      <c r="J21" s="28"/>
      <c r="K21" s="27"/>
    </row>
    <row r="22" spans="1:11">
      <c r="A22" s="22">
        <v>46090</v>
      </c>
      <c r="B22" s="23" t="str">
        <f t="shared" si="8"/>
        <v>Monday</v>
      </c>
      <c r="C22" s="31">
        <v>21</v>
      </c>
      <c r="D22" s="32">
        <v>1800</v>
      </c>
      <c r="E22" s="33">
        <v>100</v>
      </c>
      <c r="F22" s="21">
        <f t="shared" si="9"/>
        <v>100</v>
      </c>
      <c r="G22" s="21"/>
      <c r="H22" s="35"/>
      <c r="I22" s="27"/>
      <c r="J22" s="28"/>
      <c r="K22" s="27"/>
    </row>
    <row r="23" spans="1:11">
      <c r="A23" s="22">
        <v>46091</v>
      </c>
      <c r="B23" s="23" t="str">
        <f t="shared" si="8"/>
        <v>Tuesday</v>
      </c>
      <c r="C23" s="31">
        <v>22</v>
      </c>
      <c r="D23" s="32"/>
      <c r="E23" s="33"/>
      <c r="F23" s="21">
        <f t="shared" si="9"/>
        <v>-1800</v>
      </c>
      <c r="G23" s="21"/>
      <c r="H23" s="35"/>
      <c r="I23" s="27"/>
      <c r="J23" s="28"/>
      <c r="K23" s="27"/>
    </row>
    <row r="24" spans="1:11">
      <c r="A24" s="22">
        <v>46092</v>
      </c>
      <c r="B24" s="23" t="str">
        <f t="shared" si="8"/>
        <v>Wednesday</v>
      </c>
      <c r="C24" s="31">
        <v>23</v>
      </c>
      <c r="D24" s="32"/>
      <c r="E24" s="33"/>
      <c r="F24" s="21">
        <f t="shared" ref="F24:F26" si="10">D24-D23</f>
        <v>0</v>
      </c>
      <c r="G24" s="21"/>
      <c r="H24" s="35"/>
      <c r="I24" s="44"/>
      <c r="J24" s="45"/>
      <c r="K24" s="44"/>
    </row>
    <row r="25" spans="1:11">
      <c r="A25" s="22">
        <v>46093</v>
      </c>
      <c r="B25" s="23" t="str">
        <f t="shared" si="8"/>
        <v>Thursday</v>
      </c>
      <c r="C25" s="31">
        <v>24</v>
      </c>
      <c r="D25" s="32"/>
      <c r="E25" s="33"/>
      <c r="F25" s="21">
        <f t="shared" si="10"/>
        <v>0</v>
      </c>
      <c r="G25" s="21"/>
      <c r="H25" s="35"/>
      <c r="I25" s="44"/>
      <c r="J25" s="45"/>
      <c r="K25" s="44"/>
    </row>
    <row r="26" spans="1:11">
      <c r="A26" s="22">
        <v>46094</v>
      </c>
      <c r="B26" s="23" t="str">
        <f t="shared" si="8"/>
        <v>Friday</v>
      </c>
      <c r="C26" s="31">
        <v>25</v>
      </c>
      <c r="D26" s="32"/>
      <c r="E26" s="33"/>
      <c r="F26" s="21">
        <f t="shared" ref="F26:F27" si="11">D26-D25</f>
        <v>0</v>
      </c>
      <c r="G26" s="21"/>
      <c r="H26" s="35"/>
      <c r="I26" s="44"/>
      <c r="J26" s="45"/>
      <c r="K26" s="44"/>
    </row>
    <row r="27" spans="1:11">
      <c r="A27" s="22">
        <v>46095</v>
      </c>
      <c r="B27" s="23" t="str">
        <f t="shared" si="8"/>
        <v>Saturday</v>
      </c>
      <c r="C27" s="31">
        <v>26</v>
      </c>
      <c r="D27" s="32"/>
      <c r="E27" s="33"/>
      <c r="F27" s="21">
        <f t="shared" si="11"/>
        <v>0</v>
      </c>
      <c r="G27" s="21"/>
      <c r="H27" s="35"/>
      <c r="I27" s="44"/>
      <c r="J27" s="45"/>
      <c r="K27" s="44"/>
    </row>
    <row r="28" spans="1:11">
      <c r="A28" s="22">
        <v>46096</v>
      </c>
      <c r="B28" s="23" t="str">
        <f t="shared" si="8"/>
        <v>Sunday</v>
      </c>
      <c r="C28" s="31">
        <v>27</v>
      </c>
      <c r="D28" s="32"/>
      <c r="E28" s="33"/>
      <c r="F28" s="21">
        <f t="shared" ref="F28" si="12">D28-D27</f>
        <v>0</v>
      </c>
      <c r="G28" s="21"/>
      <c r="H28" s="35"/>
      <c r="I28" s="44"/>
      <c r="J28" s="45"/>
      <c r="K28" s="44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16CBF-AE2C-4A32-BDF9-ECB4A130B079}">
  <dimension ref="A1:AB32"/>
  <sheetViews>
    <sheetView zoomScaleNormal="100" workbookViewId="0">
      <selection activeCell="F29" sqref="F29"/>
    </sheetView>
  </sheetViews>
  <sheetFormatPr defaultRowHeight="15"/>
  <cols>
    <col min="1" max="2" width="25.140625" customWidth="1"/>
    <col min="3" max="3" width="27.28515625" customWidth="1"/>
    <col min="4" max="4" width="25.140625" customWidth="1"/>
    <col min="5" max="8" width="9.140625" style="1"/>
    <col min="9" max="9" width="9.140625" style="1" customWidth="1"/>
    <col min="10" max="11" width="28.5703125" style="1" customWidth="1"/>
    <col min="12" max="28" width="9.140625" style="1"/>
  </cols>
  <sheetData>
    <row r="1" spans="1:4" ht="28.5" customHeight="1" thickBot="1">
      <c r="A1" s="41" t="s">
        <v>144</v>
      </c>
      <c r="B1" s="41" t="s">
        <v>145</v>
      </c>
      <c r="C1" s="41" t="s">
        <v>169</v>
      </c>
      <c r="D1" s="41" t="s">
        <v>3</v>
      </c>
    </row>
    <row r="2" spans="1:4" ht="45" customHeight="1" thickBot="1">
      <c r="A2" s="41" t="s">
        <v>146</v>
      </c>
      <c r="B2" s="42" t="s">
        <v>147</v>
      </c>
      <c r="C2" s="43" t="s">
        <v>164</v>
      </c>
      <c r="D2" s="42" t="s">
        <v>148</v>
      </c>
    </row>
    <row r="3" spans="1:4" ht="45" customHeight="1" thickBot="1">
      <c r="A3" s="41" t="s">
        <v>149</v>
      </c>
      <c r="B3" s="42" t="s">
        <v>152</v>
      </c>
      <c r="C3" s="43" t="s">
        <v>166</v>
      </c>
      <c r="D3" s="42" t="s">
        <v>150</v>
      </c>
    </row>
    <row r="4" spans="1:4" ht="45" customHeight="1" thickBot="1">
      <c r="A4" s="41" t="s">
        <v>151</v>
      </c>
      <c r="B4" s="42" t="s">
        <v>152</v>
      </c>
      <c r="C4" s="42" t="s">
        <v>188</v>
      </c>
      <c r="D4" s="42" t="s">
        <v>153</v>
      </c>
    </row>
    <row r="5" spans="1:4" ht="45" customHeight="1" thickBot="1">
      <c r="A5" s="41" t="s">
        <v>154</v>
      </c>
      <c r="B5" s="42" t="s">
        <v>152</v>
      </c>
      <c r="C5" s="43" t="s">
        <v>165</v>
      </c>
      <c r="D5" s="42" t="s">
        <v>155</v>
      </c>
    </row>
    <row r="6" spans="1:4" ht="45" customHeight="1" thickBot="1">
      <c r="A6" s="41" t="s">
        <v>156</v>
      </c>
      <c r="B6" s="42" t="s">
        <v>152</v>
      </c>
      <c r="C6" s="43" t="s">
        <v>167</v>
      </c>
      <c r="D6" s="42" t="s">
        <v>157</v>
      </c>
    </row>
    <row r="7" spans="1:4" ht="45" customHeight="1" thickBot="1">
      <c r="A7" s="41" t="s">
        <v>158</v>
      </c>
      <c r="B7" s="42" t="s">
        <v>152</v>
      </c>
      <c r="C7" s="43" t="s">
        <v>168</v>
      </c>
      <c r="D7" s="42" t="s">
        <v>159</v>
      </c>
    </row>
    <row r="8" spans="1:4" ht="45" customHeight="1" thickBot="1">
      <c r="A8" s="41" t="s">
        <v>160</v>
      </c>
      <c r="B8" s="42" t="s">
        <v>152</v>
      </c>
      <c r="C8" s="43" t="s">
        <v>175</v>
      </c>
      <c r="D8" s="42" t="s">
        <v>161</v>
      </c>
    </row>
    <row r="9" spans="1:4" ht="45" customHeight="1" thickBot="1">
      <c r="A9" s="41" t="s">
        <v>162</v>
      </c>
      <c r="B9" s="42" t="s">
        <v>152</v>
      </c>
      <c r="C9" s="43" t="s">
        <v>175</v>
      </c>
      <c r="D9" s="42" t="s">
        <v>163</v>
      </c>
    </row>
    <row r="20" spans="1:6" ht="15.75" thickBot="1"/>
    <row r="21" spans="1:6" ht="60.75" thickBot="1">
      <c r="A21" s="12" t="s">
        <v>0</v>
      </c>
      <c r="B21" s="12" t="s">
        <v>170</v>
      </c>
      <c r="C21" s="12" t="s">
        <v>171</v>
      </c>
      <c r="D21" s="12" t="s">
        <v>172</v>
      </c>
      <c r="E21" s="12" t="s">
        <v>173</v>
      </c>
      <c r="F21" s="12" t="s">
        <v>174</v>
      </c>
    </row>
    <row r="22" spans="1:6" ht="15.75" thickBot="1">
      <c r="A22" s="13"/>
      <c r="B22" s="13"/>
      <c r="C22" s="13"/>
      <c r="D22" s="13"/>
      <c r="E22" s="13"/>
      <c r="F22" s="13"/>
    </row>
    <row r="23" spans="1:6" ht="15.75" thickBot="1"/>
    <row r="24" spans="1:6" ht="30.75" thickBot="1">
      <c r="B24" s="41" t="s">
        <v>144</v>
      </c>
      <c r="C24" s="41" t="s">
        <v>145</v>
      </c>
      <c r="D24" s="41" t="s">
        <v>169</v>
      </c>
    </row>
    <row r="25" spans="1:6" ht="57.75" thickBot="1">
      <c r="B25" s="41" t="s">
        <v>146</v>
      </c>
      <c r="C25" s="42" t="s">
        <v>147</v>
      </c>
      <c r="D25" s="43" t="s">
        <v>164</v>
      </c>
      <c r="E25" s="42" t="s">
        <v>148</v>
      </c>
    </row>
    <row r="26" spans="1:6" ht="57.75" thickBot="1">
      <c r="B26" s="41" t="s">
        <v>149</v>
      </c>
      <c r="C26" s="42" t="s">
        <v>152</v>
      </c>
      <c r="D26" s="43" t="s">
        <v>166</v>
      </c>
      <c r="E26" s="42" t="s">
        <v>150</v>
      </c>
    </row>
    <row r="27" spans="1:6" ht="43.5" thickBot="1">
      <c r="B27" s="41" t="s">
        <v>151</v>
      </c>
      <c r="C27" s="42" t="s">
        <v>152</v>
      </c>
      <c r="D27" s="42" t="s">
        <v>188</v>
      </c>
      <c r="E27" s="42" t="s">
        <v>153</v>
      </c>
    </row>
    <row r="28" spans="1:6" ht="43.5" thickBot="1">
      <c r="B28" s="41" t="s">
        <v>154</v>
      </c>
      <c r="C28" s="42" t="s">
        <v>152</v>
      </c>
      <c r="D28" s="43" t="s">
        <v>165</v>
      </c>
      <c r="E28" s="42" t="s">
        <v>155</v>
      </c>
    </row>
    <row r="29" spans="1:6" ht="43.5" thickBot="1">
      <c r="B29" s="41" t="s">
        <v>156</v>
      </c>
      <c r="C29" s="42" t="s">
        <v>152</v>
      </c>
      <c r="D29" s="43" t="s">
        <v>167</v>
      </c>
      <c r="E29" s="42" t="s">
        <v>157</v>
      </c>
    </row>
    <row r="30" spans="1:6" ht="57.75" thickBot="1">
      <c r="B30" s="41" t="s">
        <v>158</v>
      </c>
      <c r="C30" s="42" t="s">
        <v>152</v>
      </c>
      <c r="D30" s="43" t="s">
        <v>168</v>
      </c>
      <c r="E30" s="42" t="s">
        <v>159</v>
      </c>
    </row>
    <row r="31" spans="1:6" ht="57.75" thickBot="1">
      <c r="B31" s="41" t="s">
        <v>160</v>
      </c>
      <c r="C31" s="42" t="s">
        <v>152</v>
      </c>
      <c r="D31" s="43" t="s">
        <v>175</v>
      </c>
      <c r="E31" s="42" t="s">
        <v>161</v>
      </c>
    </row>
    <row r="32" spans="1:6" ht="57.75" thickBot="1">
      <c r="B32" s="41" t="s">
        <v>162</v>
      </c>
      <c r="C32" s="42" t="s">
        <v>152</v>
      </c>
      <c r="D32" s="43" t="s">
        <v>175</v>
      </c>
      <c r="E32" s="42" t="s">
        <v>163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6C38E-9314-4858-A0B4-B19A4CCC525E}">
  <dimension ref="A1:AH16"/>
  <sheetViews>
    <sheetView zoomScale="145" zoomScaleNormal="145" workbookViewId="0">
      <selection activeCell="I7" sqref="I2:I7"/>
    </sheetView>
  </sheetViews>
  <sheetFormatPr defaultRowHeight="15"/>
  <cols>
    <col min="1" max="1" width="30" customWidth="1"/>
    <col min="2" max="2" width="37.42578125" customWidth="1"/>
    <col min="3" max="3" width="48.42578125" customWidth="1"/>
    <col min="4" max="5" width="9.140625" style="14"/>
    <col min="6" max="34" width="9.140625" style="1"/>
  </cols>
  <sheetData>
    <row r="1" spans="1:9" ht="31.5" customHeight="1" thickBot="1">
      <c r="A1" s="12" t="s">
        <v>15</v>
      </c>
      <c r="B1" s="12" t="s">
        <v>16</v>
      </c>
      <c r="C1" s="12" t="s">
        <v>17</v>
      </c>
    </row>
    <row r="2" spans="1:9" ht="31.5" customHeight="1" thickBot="1">
      <c r="A2" s="12" t="s">
        <v>18</v>
      </c>
      <c r="B2" s="13" t="s">
        <v>55</v>
      </c>
      <c r="C2" s="13" t="s">
        <v>19</v>
      </c>
      <c r="D2" s="12" t="s">
        <v>114</v>
      </c>
      <c r="E2" s="12" t="s">
        <v>67</v>
      </c>
      <c r="F2" s="12" t="s">
        <v>115</v>
      </c>
      <c r="G2" s="12" t="s">
        <v>116</v>
      </c>
      <c r="H2" s="12" t="s">
        <v>117</v>
      </c>
      <c r="I2" s="12" t="s">
        <v>137</v>
      </c>
    </row>
    <row r="3" spans="1:9" ht="31.5" customHeight="1" thickBot="1">
      <c r="A3" s="12" t="s">
        <v>20</v>
      </c>
      <c r="B3" s="13" t="s">
        <v>21</v>
      </c>
      <c r="C3" s="13" t="s">
        <v>22</v>
      </c>
      <c r="D3" s="12">
        <v>1</v>
      </c>
      <c r="E3" s="12" t="s">
        <v>118</v>
      </c>
      <c r="F3" s="13" t="s">
        <v>119</v>
      </c>
      <c r="G3" s="12" t="s">
        <v>120</v>
      </c>
      <c r="H3" s="13" t="s">
        <v>121</v>
      </c>
      <c r="I3" s="13" t="s">
        <v>138</v>
      </c>
    </row>
    <row r="4" spans="1:9" ht="31.5" customHeight="1" thickBot="1">
      <c r="A4" s="12" t="s">
        <v>23</v>
      </c>
      <c r="B4" s="13" t="s">
        <v>56</v>
      </c>
      <c r="C4" s="13" t="s">
        <v>24</v>
      </c>
      <c r="D4" s="12">
        <v>2</v>
      </c>
      <c r="E4" s="12" t="s">
        <v>122</v>
      </c>
      <c r="F4" s="13" t="s">
        <v>123</v>
      </c>
      <c r="G4" s="12" t="s">
        <v>124</v>
      </c>
      <c r="H4" s="13" t="s">
        <v>125</v>
      </c>
      <c r="I4" s="40" t="s">
        <v>139</v>
      </c>
    </row>
    <row r="5" spans="1:9" ht="31.5" customHeight="1" thickBot="1">
      <c r="A5" s="12" t="s">
        <v>25</v>
      </c>
      <c r="B5" s="13" t="s">
        <v>21</v>
      </c>
      <c r="C5" s="13" t="s">
        <v>26</v>
      </c>
      <c r="D5" s="12">
        <v>3</v>
      </c>
      <c r="E5" s="12" t="s">
        <v>126</v>
      </c>
      <c r="F5" s="13" t="s">
        <v>127</v>
      </c>
      <c r="G5" s="12" t="s">
        <v>128</v>
      </c>
      <c r="H5" s="13" t="s">
        <v>140</v>
      </c>
      <c r="I5" s="13" t="s">
        <v>141</v>
      </c>
    </row>
    <row r="6" spans="1:9" ht="31.5" customHeight="1" thickBot="1">
      <c r="A6" s="12" t="s">
        <v>27</v>
      </c>
      <c r="B6" s="13" t="s">
        <v>57</v>
      </c>
      <c r="C6" s="13" t="s">
        <v>28</v>
      </c>
      <c r="D6" s="12">
        <v>4</v>
      </c>
      <c r="E6" s="12" t="s">
        <v>129</v>
      </c>
      <c r="F6" s="13" t="s">
        <v>130</v>
      </c>
      <c r="G6" s="12" t="s">
        <v>131</v>
      </c>
      <c r="H6" s="13" t="s">
        <v>132</v>
      </c>
      <c r="I6" s="13" t="s">
        <v>142</v>
      </c>
    </row>
    <row r="7" spans="1:9" ht="31.5" customHeight="1" thickBot="1">
      <c r="A7" s="12" t="s">
        <v>29</v>
      </c>
      <c r="B7" s="13" t="s">
        <v>30</v>
      </c>
      <c r="C7" s="13" t="s">
        <v>31</v>
      </c>
      <c r="D7" s="12">
        <v>5</v>
      </c>
      <c r="E7" s="12" t="s">
        <v>133</v>
      </c>
      <c r="F7" s="13" t="s">
        <v>134</v>
      </c>
      <c r="G7" s="12" t="s">
        <v>135</v>
      </c>
      <c r="H7" s="13" t="s">
        <v>136</v>
      </c>
      <c r="I7" s="13" t="s">
        <v>143</v>
      </c>
    </row>
    <row r="8" spans="1:9" ht="31.5" customHeight="1" thickBot="1">
      <c r="A8" s="12" t="s">
        <v>32</v>
      </c>
      <c r="B8" s="13" t="s">
        <v>58</v>
      </c>
      <c r="C8" s="13" t="s">
        <v>33</v>
      </c>
    </row>
    <row r="9" spans="1:9" ht="31.5" customHeight="1" thickBot="1">
      <c r="A9" s="12" t="s">
        <v>34</v>
      </c>
      <c r="B9" s="13" t="s">
        <v>35</v>
      </c>
      <c r="C9" s="13" t="s">
        <v>36</v>
      </c>
    </row>
    <row r="10" spans="1:9" ht="31.5" customHeight="1" thickBot="1">
      <c r="A10" s="12" t="s">
        <v>37</v>
      </c>
      <c r="B10" s="13" t="s">
        <v>59</v>
      </c>
      <c r="C10" s="13" t="s">
        <v>38</v>
      </c>
    </row>
    <row r="11" spans="1:9" ht="31.5" customHeight="1" thickBot="1">
      <c r="A11" s="12" t="s">
        <v>39</v>
      </c>
      <c r="B11" s="13" t="s">
        <v>40</v>
      </c>
      <c r="C11" s="13" t="s">
        <v>41</v>
      </c>
    </row>
    <row r="12" spans="1:9" ht="31.5" customHeight="1" thickBot="1">
      <c r="A12" s="12" t="s">
        <v>42</v>
      </c>
      <c r="B12" s="13" t="s">
        <v>60</v>
      </c>
      <c r="C12" s="13" t="s">
        <v>43</v>
      </c>
    </row>
    <row r="13" spans="1:9" ht="31.5" customHeight="1" thickBot="1">
      <c r="A13" s="12" t="s">
        <v>44</v>
      </c>
      <c r="B13" s="13" t="s">
        <v>45</v>
      </c>
      <c r="C13" s="13" t="s">
        <v>46</v>
      </c>
    </row>
    <row r="14" spans="1:9" ht="31.5" customHeight="1" thickBot="1">
      <c r="A14" s="12" t="s">
        <v>47</v>
      </c>
      <c r="B14" s="13" t="s">
        <v>61</v>
      </c>
      <c r="C14" s="13" t="s">
        <v>48</v>
      </c>
    </row>
    <row r="15" spans="1:9" ht="31.5" customHeight="1" thickBot="1">
      <c r="A15" s="12" t="s">
        <v>49</v>
      </c>
      <c r="B15" s="13" t="s">
        <v>50</v>
      </c>
      <c r="C15" s="13" t="s">
        <v>51</v>
      </c>
    </row>
    <row r="16" spans="1:9" ht="31.5" customHeight="1" thickBot="1">
      <c r="A16" s="12" t="s">
        <v>52</v>
      </c>
      <c r="B16" s="13" t="s">
        <v>53</v>
      </c>
      <c r="C16" s="13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Sheet4</vt:lpstr>
      <vt:lpstr>Shortcut</vt:lpstr>
      <vt:lpstr>Main</vt:lpstr>
      <vt:lpstr>Progress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Rainric Randy P. Yu</dc:creator>
  <cp:lastModifiedBy>Rainric Randy P. Yu</cp:lastModifiedBy>
  <dcterms:created xsi:type="dcterms:W3CDTF">2026-02-14T17:41:17Z</dcterms:created>
  <dcterms:modified xsi:type="dcterms:W3CDTF">2026-03-13T03:40:49Z</dcterms:modified>
</cp:coreProperties>
</file>